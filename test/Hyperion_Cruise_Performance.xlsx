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obc\Desktop\"/>
    </mc:Choice>
  </mc:AlternateContent>
  <xr:revisionPtr revIDLastSave="0" documentId="13_ncr:1_{EAE7DEEE-2249-4DE0-9924-E23B366D6EE1}" xr6:coauthVersionLast="47" xr6:coauthVersionMax="47" xr10:uidLastSave="{00000000-0000-0000-0000-000000000000}"/>
  <bookViews>
    <workbookView xWindow="-98" yWindow="-98" windowWidth="17115" windowHeight="10755" xr2:uid="{EF0C18E7-DCF3-4817-9AB6-6C4C0752A64B}"/>
  </bookViews>
  <sheets>
    <sheet name="50000" sheetId="8" r:id="rId1"/>
    <sheet name="60000" sheetId="7" r:id="rId2"/>
    <sheet name="40000" sheetId="9" r:id="rId3"/>
    <sheet name="Sheet1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8" l="1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26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26" i="8"/>
  <c r="AM55" i="7" l="1"/>
  <c r="L72" i="7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AA42" i="9" s="1"/>
  <c r="AB42" i="9" s="1"/>
  <c r="AP42" i="9" s="1"/>
  <c r="Z43" i="9"/>
  <c r="Z44" i="9"/>
  <c r="Z45" i="9"/>
  <c r="Z46" i="9"/>
  <c r="AA46" i="9" s="1"/>
  <c r="AB46" i="9" s="1"/>
  <c r="AP46" i="9" s="1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P125" i="9"/>
  <c r="Q125" i="9" s="1"/>
  <c r="S125" i="9" s="1"/>
  <c r="Y125" i="9" s="1"/>
  <c r="O125" i="9"/>
  <c r="N125" i="9"/>
  <c r="M125" i="9"/>
  <c r="L125" i="9"/>
  <c r="P124" i="9"/>
  <c r="Q124" i="9" s="1"/>
  <c r="R124" i="9" s="1"/>
  <c r="X124" i="9" s="1"/>
  <c r="AE124" i="9" s="1"/>
  <c r="O124" i="9"/>
  <c r="N124" i="9"/>
  <c r="L124" i="9"/>
  <c r="Q123" i="9"/>
  <c r="P123" i="9"/>
  <c r="O123" i="9"/>
  <c r="N123" i="9"/>
  <c r="M123" i="9"/>
  <c r="L123" i="9"/>
  <c r="Q122" i="9"/>
  <c r="P122" i="9"/>
  <c r="N122" i="9"/>
  <c r="O122" i="9" s="1"/>
  <c r="S122" i="9" s="1"/>
  <c r="Y122" i="9" s="1"/>
  <c r="AF122" i="9" s="1"/>
  <c r="L122" i="9"/>
  <c r="P121" i="9"/>
  <c r="Q121" i="9" s="1"/>
  <c r="O121" i="9"/>
  <c r="N121" i="9"/>
  <c r="M121" i="9"/>
  <c r="L121" i="9"/>
  <c r="P120" i="9"/>
  <c r="Q120" i="9" s="1"/>
  <c r="R120" i="9" s="1"/>
  <c r="X120" i="9" s="1"/>
  <c r="AE120" i="9" s="1"/>
  <c r="O120" i="9"/>
  <c r="N120" i="9"/>
  <c r="L120" i="9"/>
  <c r="Q119" i="9"/>
  <c r="P119" i="9"/>
  <c r="O119" i="9"/>
  <c r="N119" i="9"/>
  <c r="M119" i="9"/>
  <c r="L119" i="9"/>
  <c r="Q118" i="9"/>
  <c r="P118" i="9"/>
  <c r="O118" i="9"/>
  <c r="N118" i="9"/>
  <c r="L118" i="9"/>
  <c r="P117" i="9"/>
  <c r="Q117" i="9" s="1"/>
  <c r="O117" i="9"/>
  <c r="N117" i="9"/>
  <c r="M117" i="9"/>
  <c r="L117" i="9"/>
  <c r="Q116" i="9"/>
  <c r="S116" i="9" s="1"/>
  <c r="Y116" i="9" s="1"/>
  <c r="AF116" i="9" s="1"/>
  <c r="P116" i="9"/>
  <c r="O116" i="9"/>
  <c r="N116" i="9"/>
  <c r="L116" i="9"/>
  <c r="P115" i="9"/>
  <c r="Q115" i="9" s="1"/>
  <c r="R115" i="9" s="1"/>
  <c r="X115" i="9" s="1"/>
  <c r="O115" i="9"/>
  <c r="N115" i="9"/>
  <c r="M115" i="9"/>
  <c r="L115" i="9"/>
  <c r="P114" i="9"/>
  <c r="Q114" i="9" s="1"/>
  <c r="R114" i="9" s="1"/>
  <c r="X114" i="9" s="1"/>
  <c r="O114" i="9"/>
  <c r="N114" i="9"/>
  <c r="M114" i="9"/>
  <c r="L114" i="9"/>
  <c r="P113" i="9"/>
  <c r="Q113" i="9" s="1"/>
  <c r="O113" i="9"/>
  <c r="N113" i="9"/>
  <c r="M113" i="9"/>
  <c r="L113" i="9"/>
  <c r="P112" i="9"/>
  <c r="Q112" i="9" s="1"/>
  <c r="O112" i="9"/>
  <c r="N112" i="9"/>
  <c r="L112" i="9"/>
  <c r="P111" i="9"/>
  <c r="Q111" i="9" s="1"/>
  <c r="S111" i="9" s="1"/>
  <c r="Y111" i="9" s="1"/>
  <c r="O111" i="9"/>
  <c r="N111" i="9"/>
  <c r="M111" i="9"/>
  <c r="L111" i="9"/>
  <c r="P110" i="9"/>
  <c r="Q110" i="9" s="1"/>
  <c r="O110" i="9"/>
  <c r="N110" i="9"/>
  <c r="L110" i="9"/>
  <c r="P109" i="9"/>
  <c r="Q109" i="9" s="1"/>
  <c r="O109" i="9"/>
  <c r="N109" i="9"/>
  <c r="M109" i="9"/>
  <c r="L109" i="9"/>
  <c r="P108" i="9"/>
  <c r="Q108" i="9" s="1"/>
  <c r="N108" i="9"/>
  <c r="O108" i="9" s="1"/>
  <c r="L108" i="9"/>
  <c r="P107" i="9"/>
  <c r="Q107" i="9" s="1"/>
  <c r="O107" i="9"/>
  <c r="N107" i="9"/>
  <c r="M107" i="9"/>
  <c r="L107" i="9"/>
  <c r="P106" i="9"/>
  <c r="Q106" i="9" s="1"/>
  <c r="N106" i="9"/>
  <c r="O106" i="9" s="1"/>
  <c r="M106" i="9"/>
  <c r="L106" i="9"/>
  <c r="P105" i="9"/>
  <c r="Q105" i="9" s="1"/>
  <c r="O105" i="9"/>
  <c r="N105" i="9"/>
  <c r="M105" i="9"/>
  <c r="L105" i="9"/>
  <c r="P104" i="9"/>
  <c r="Q104" i="9" s="1"/>
  <c r="N104" i="9"/>
  <c r="O104" i="9" s="1"/>
  <c r="M104" i="9"/>
  <c r="T104" i="9" s="1"/>
  <c r="L104" i="9"/>
  <c r="Q103" i="9"/>
  <c r="R103" i="9" s="1"/>
  <c r="X103" i="9" s="1"/>
  <c r="P103" i="9"/>
  <c r="O103" i="9"/>
  <c r="N103" i="9"/>
  <c r="M103" i="9"/>
  <c r="L103" i="9"/>
  <c r="P102" i="9"/>
  <c r="Q102" i="9" s="1"/>
  <c r="S102" i="9" s="1"/>
  <c r="Y102" i="9" s="1"/>
  <c r="N102" i="9"/>
  <c r="O102" i="9" s="1"/>
  <c r="M102" i="9"/>
  <c r="L102" i="9"/>
  <c r="P101" i="9"/>
  <c r="Q101" i="9" s="1"/>
  <c r="O101" i="9"/>
  <c r="N101" i="9"/>
  <c r="M101" i="9"/>
  <c r="L101" i="9"/>
  <c r="Q100" i="9"/>
  <c r="P100" i="9"/>
  <c r="O100" i="9"/>
  <c r="S100" i="9" s="1"/>
  <c r="Y100" i="9" s="1"/>
  <c r="AF100" i="9" s="1"/>
  <c r="N100" i="9"/>
  <c r="M100" i="9"/>
  <c r="T100" i="9" s="1"/>
  <c r="L100" i="9"/>
  <c r="P99" i="9"/>
  <c r="Q99" i="9" s="1"/>
  <c r="O99" i="9"/>
  <c r="N99" i="9"/>
  <c r="M99" i="9"/>
  <c r="L99" i="9"/>
  <c r="P98" i="9"/>
  <c r="Q98" i="9" s="1"/>
  <c r="O98" i="9"/>
  <c r="N98" i="9"/>
  <c r="M98" i="9"/>
  <c r="T98" i="9" s="1"/>
  <c r="U98" i="9" s="1"/>
  <c r="L98" i="9"/>
  <c r="U97" i="9"/>
  <c r="P97" i="9"/>
  <c r="Q97" i="9" s="1"/>
  <c r="O97" i="9"/>
  <c r="N97" i="9"/>
  <c r="M97" i="9"/>
  <c r="T97" i="9" s="1"/>
  <c r="L97" i="9"/>
  <c r="P96" i="9"/>
  <c r="Q96" i="9" s="1"/>
  <c r="O96" i="9"/>
  <c r="N96" i="9"/>
  <c r="L96" i="9"/>
  <c r="AE95" i="9"/>
  <c r="Q95" i="9"/>
  <c r="R95" i="9" s="1"/>
  <c r="X95" i="9" s="1"/>
  <c r="P95" i="9"/>
  <c r="O95" i="9"/>
  <c r="N95" i="9"/>
  <c r="M95" i="9"/>
  <c r="L95" i="9"/>
  <c r="S94" i="9"/>
  <c r="Y94" i="9" s="1"/>
  <c r="AF94" i="9" s="1"/>
  <c r="Q94" i="9"/>
  <c r="R94" i="9" s="1"/>
  <c r="X94" i="9" s="1"/>
  <c r="AE94" i="9" s="1"/>
  <c r="P94" i="9"/>
  <c r="O94" i="9"/>
  <c r="N94" i="9"/>
  <c r="M94" i="9"/>
  <c r="L94" i="9"/>
  <c r="Q93" i="9"/>
  <c r="S93" i="9" s="1"/>
  <c r="Y93" i="9" s="1"/>
  <c r="AF93" i="9" s="1"/>
  <c r="P93" i="9"/>
  <c r="O93" i="9"/>
  <c r="N93" i="9"/>
  <c r="M93" i="9"/>
  <c r="L93" i="9"/>
  <c r="X92" i="9"/>
  <c r="P92" i="9"/>
  <c r="Q92" i="9" s="1"/>
  <c r="R92" i="9" s="1"/>
  <c r="O92" i="9"/>
  <c r="N92" i="9"/>
  <c r="L92" i="9"/>
  <c r="P91" i="9"/>
  <c r="Q91" i="9" s="1"/>
  <c r="N91" i="9"/>
  <c r="O91" i="9" s="1"/>
  <c r="M91" i="9"/>
  <c r="L91" i="9"/>
  <c r="P90" i="9"/>
  <c r="Q90" i="9" s="1"/>
  <c r="O90" i="9"/>
  <c r="N90" i="9"/>
  <c r="M90" i="9"/>
  <c r="L90" i="9"/>
  <c r="Q89" i="9"/>
  <c r="S89" i="9" s="1"/>
  <c r="Y89" i="9" s="1"/>
  <c r="AF89" i="9" s="1"/>
  <c r="P89" i="9"/>
  <c r="N89" i="9"/>
  <c r="O89" i="9" s="1"/>
  <c r="M89" i="9"/>
  <c r="T89" i="9" s="1"/>
  <c r="L89" i="9"/>
  <c r="U88" i="9"/>
  <c r="W88" i="9" s="1"/>
  <c r="P88" i="9"/>
  <c r="Q88" i="9" s="1"/>
  <c r="O88" i="9"/>
  <c r="N88" i="9"/>
  <c r="M88" i="9"/>
  <c r="T88" i="9" s="1"/>
  <c r="L88" i="9"/>
  <c r="Q87" i="9"/>
  <c r="R87" i="9" s="1"/>
  <c r="X87" i="9" s="1"/>
  <c r="AE87" i="9" s="1"/>
  <c r="P87" i="9"/>
  <c r="N87" i="9"/>
  <c r="O87" i="9" s="1"/>
  <c r="M87" i="9"/>
  <c r="T87" i="9" s="1"/>
  <c r="L87" i="9"/>
  <c r="P86" i="9"/>
  <c r="Q86" i="9" s="1"/>
  <c r="O86" i="9"/>
  <c r="N86" i="9"/>
  <c r="M86" i="9"/>
  <c r="T86" i="9" s="1"/>
  <c r="U86" i="9" s="1"/>
  <c r="L86" i="9"/>
  <c r="Q85" i="9"/>
  <c r="R85" i="9" s="1"/>
  <c r="X85" i="9" s="1"/>
  <c r="P85" i="9"/>
  <c r="N85" i="9"/>
  <c r="O85" i="9" s="1"/>
  <c r="M85" i="9"/>
  <c r="L85" i="9"/>
  <c r="P84" i="9"/>
  <c r="Q84" i="9" s="1"/>
  <c r="O84" i="9"/>
  <c r="N84" i="9"/>
  <c r="L84" i="9"/>
  <c r="P83" i="9"/>
  <c r="Q83" i="9" s="1"/>
  <c r="N83" i="9"/>
  <c r="O83" i="9" s="1"/>
  <c r="M83" i="9"/>
  <c r="L83" i="9"/>
  <c r="Q82" i="9"/>
  <c r="S82" i="9" s="1"/>
  <c r="Y82" i="9" s="1"/>
  <c r="P82" i="9"/>
  <c r="O82" i="9"/>
  <c r="R82" i="9" s="1"/>
  <c r="X82" i="9" s="1"/>
  <c r="AE82" i="9" s="1"/>
  <c r="N82" i="9"/>
  <c r="L82" i="9"/>
  <c r="P81" i="9"/>
  <c r="Q81" i="9" s="1"/>
  <c r="O81" i="9"/>
  <c r="N81" i="9"/>
  <c r="L81" i="9"/>
  <c r="P80" i="9"/>
  <c r="Q80" i="9" s="1"/>
  <c r="S80" i="9" s="1"/>
  <c r="Y80" i="9" s="1"/>
  <c r="O80" i="9"/>
  <c r="N80" i="9"/>
  <c r="L80" i="9"/>
  <c r="P79" i="9"/>
  <c r="Q79" i="9" s="1"/>
  <c r="O79" i="9"/>
  <c r="N79" i="9"/>
  <c r="M79" i="9"/>
  <c r="T79" i="9" s="1"/>
  <c r="L79" i="9"/>
  <c r="P78" i="9"/>
  <c r="Q78" i="9" s="1"/>
  <c r="O78" i="9"/>
  <c r="N78" i="9"/>
  <c r="L78" i="9"/>
  <c r="S77" i="9"/>
  <c r="Y77" i="9" s="1"/>
  <c r="AF77" i="9" s="1"/>
  <c r="P77" i="9"/>
  <c r="Q77" i="9" s="1"/>
  <c r="N77" i="9"/>
  <c r="O77" i="9" s="1"/>
  <c r="M77" i="9"/>
  <c r="L77" i="9"/>
  <c r="P76" i="9"/>
  <c r="Q76" i="9" s="1"/>
  <c r="O76" i="9"/>
  <c r="N76" i="9"/>
  <c r="L76" i="9"/>
  <c r="P75" i="9"/>
  <c r="Q75" i="9" s="1"/>
  <c r="N75" i="9"/>
  <c r="O75" i="9" s="1"/>
  <c r="L75" i="9"/>
  <c r="P74" i="9"/>
  <c r="Q74" i="9" s="1"/>
  <c r="O74" i="9"/>
  <c r="N74" i="9"/>
  <c r="L74" i="9"/>
  <c r="P73" i="9"/>
  <c r="Q73" i="9" s="1"/>
  <c r="O73" i="9"/>
  <c r="N73" i="9"/>
  <c r="L73" i="9"/>
  <c r="P72" i="9"/>
  <c r="Q72" i="9" s="1"/>
  <c r="R72" i="9" s="1"/>
  <c r="X72" i="9" s="1"/>
  <c r="AE72" i="9" s="1"/>
  <c r="O72" i="9"/>
  <c r="N72" i="9"/>
  <c r="L72" i="9"/>
  <c r="P71" i="9"/>
  <c r="Q71" i="9" s="1"/>
  <c r="R71" i="9" s="1"/>
  <c r="X71" i="9" s="1"/>
  <c r="O71" i="9"/>
  <c r="N71" i="9"/>
  <c r="L71" i="9"/>
  <c r="S70" i="9"/>
  <c r="Y70" i="9" s="1"/>
  <c r="P70" i="9"/>
  <c r="Q70" i="9" s="1"/>
  <c r="R70" i="9" s="1"/>
  <c r="X70" i="9" s="1"/>
  <c r="O70" i="9"/>
  <c r="N70" i="9"/>
  <c r="L70" i="9"/>
  <c r="P69" i="9"/>
  <c r="Q69" i="9" s="1"/>
  <c r="S69" i="9" s="1"/>
  <c r="Y69" i="9" s="1"/>
  <c r="O69" i="9"/>
  <c r="N69" i="9"/>
  <c r="L69" i="9"/>
  <c r="P68" i="9"/>
  <c r="Q68" i="9" s="1"/>
  <c r="O68" i="9"/>
  <c r="N68" i="9"/>
  <c r="L68" i="9"/>
  <c r="P67" i="9"/>
  <c r="Q67" i="9" s="1"/>
  <c r="S67" i="9" s="1"/>
  <c r="Y67" i="9" s="1"/>
  <c r="O67" i="9"/>
  <c r="N67" i="9"/>
  <c r="L67" i="9"/>
  <c r="S66" i="9"/>
  <c r="Y66" i="9" s="1"/>
  <c r="AF66" i="9" s="1"/>
  <c r="P66" i="9"/>
  <c r="Q66" i="9" s="1"/>
  <c r="O66" i="9"/>
  <c r="N66" i="9"/>
  <c r="M66" i="9"/>
  <c r="T66" i="9" s="1"/>
  <c r="L66" i="9"/>
  <c r="P65" i="9"/>
  <c r="Q65" i="9" s="1"/>
  <c r="O65" i="9"/>
  <c r="N65" i="9"/>
  <c r="L65" i="9"/>
  <c r="P64" i="9"/>
  <c r="Q64" i="9" s="1"/>
  <c r="O64" i="9"/>
  <c r="N64" i="9"/>
  <c r="M64" i="9"/>
  <c r="L64" i="9"/>
  <c r="P63" i="9"/>
  <c r="Q63" i="9" s="1"/>
  <c r="S63" i="9" s="1"/>
  <c r="Y63" i="9" s="1"/>
  <c r="O63" i="9"/>
  <c r="N63" i="9"/>
  <c r="L63" i="9"/>
  <c r="P62" i="9"/>
  <c r="Q62" i="9" s="1"/>
  <c r="N62" i="9"/>
  <c r="O62" i="9" s="1"/>
  <c r="S62" i="9" s="1"/>
  <c r="Y62" i="9" s="1"/>
  <c r="M62" i="9"/>
  <c r="L62" i="9"/>
  <c r="P61" i="9"/>
  <c r="Q61" i="9" s="1"/>
  <c r="O61" i="9"/>
  <c r="N61" i="9"/>
  <c r="L61" i="9"/>
  <c r="P60" i="9"/>
  <c r="Q60" i="9" s="1"/>
  <c r="O60" i="9"/>
  <c r="N60" i="9"/>
  <c r="L60" i="9"/>
  <c r="Q59" i="9"/>
  <c r="P59" i="9"/>
  <c r="O59" i="9"/>
  <c r="R59" i="9" s="1"/>
  <c r="X59" i="9" s="1"/>
  <c r="N59" i="9"/>
  <c r="L59" i="9"/>
  <c r="AC58" i="9"/>
  <c r="AA58" i="9"/>
  <c r="AB58" i="9" s="1"/>
  <c r="AP58" i="9" s="1"/>
  <c r="P58" i="9"/>
  <c r="Q58" i="9" s="1"/>
  <c r="O58" i="9"/>
  <c r="N58" i="9"/>
  <c r="L58" i="9"/>
  <c r="AC57" i="9"/>
  <c r="AA57" i="9"/>
  <c r="AB57" i="9" s="1"/>
  <c r="AP57" i="9" s="1"/>
  <c r="P57" i="9"/>
  <c r="Q57" i="9" s="1"/>
  <c r="O57" i="9"/>
  <c r="N57" i="9"/>
  <c r="M57" i="9"/>
  <c r="T57" i="9" s="1"/>
  <c r="U57" i="9" s="1"/>
  <c r="L57" i="9"/>
  <c r="AC56" i="9"/>
  <c r="AA56" i="9"/>
  <c r="AB56" i="9" s="1"/>
  <c r="AP56" i="9" s="1"/>
  <c r="P56" i="9"/>
  <c r="Q56" i="9" s="1"/>
  <c r="S56" i="9" s="1"/>
  <c r="Y56" i="9" s="1"/>
  <c r="O56" i="9"/>
  <c r="N56" i="9"/>
  <c r="M56" i="9"/>
  <c r="T56" i="9" s="1"/>
  <c r="U56" i="9" s="1"/>
  <c r="L56" i="9"/>
  <c r="AC55" i="9"/>
  <c r="AA55" i="9"/>
  <c r="AB55" i="9" s="1"/>
  <c r="AP55" i="9" s="1"/>
  <c r="P55" i="9"/>
  <c r="Q55" i="9" s="1"/>
  <c r="O55" i="9"/>
  <c r="N55" i="9"/>
  <c r="M55" i="9"/>
  <c r="T55" i="9" s="1"/>
  <c r="U55" i="9" s="1"/>
  <c r="L55" i="9"/>
  <c r="AC54" i="9"/>
  <c r="AA54" i="9"/>
  <c r="AB54" i="9" s="1"/>
  <c r="AP54" i="9" s="1"/>
  <c r="Q54" i="9"/>
  <c r="P54" i="9"/>
  <c r="O54" i="9"/>
  <c r="R54" i="9" s="1"/>
  <c r="X54" i="9" s="1"/>
  <c r="N54" i="9"/>
  <c r="M54" i="9"/>
  <c r="T54" i="9" s="1"/>
  <c r="U54" i="9" s="1"/>
  <c r="L54" i="9"/>
  <c r="Q53" i="9"/>
  <c r="P53" i="9"/>
  <c r="O53" i="9"/>
  <c r="N53" i="9"/>
  <c r="L53" i="9"/>
  <c r="AA52" i="9"/>
  <c r="AB52" i="9" s="1"/>
  <c r="AP52" i="9" s="1"/>
  <c r="P52" i="9"/>
  <c r="Q52" i="9" s="1"/>
  <c r="O52" i="9"/>
  <c r="N52" i="9"/>
  <c r="M52" i="9"/>
  <c r="T52" i="9" s="1"/>
  <c r="U52" i="9" s="1"/>
  <c r="W52" i="9" s="1"/>
  <c r="L52" i="9"/>
  <c r="P51" i="9"/>
  <c r="Q51" i="9" s="1"/>
  <c r="O51" i="9"/>
  <c r="N51" i="9"/>
  <c r="L51" i="9"/>
  <c r="Q50" i="9"/>
  <c r="P50" i="9"/>
  <c r="O50" i="9"/>
  <c r="R50" i="9" s="1"/>
  <c r="X50" i="9" s="1"/>
  <c r="N50" i="9"/>
  <c r="M50" i="9"/>
  <c r="T50" i="9" s="1"/>
  <c r="U50" i="9" s="1"/>
  <c r="W50" i="9" s="1"/>
  <c r="L50" i="9"/>
  <c r="Q49" i="9"/>
  <c r="P49" i="9"/>
  <c r="O49" i="9"/>
  <c r="R49" i="9" s="1"/>
  <c r="X49" i="9" s="1"/>
  <c r="N49" i="9"/>
  <c r="L49" i="9"/>
  <c r="AA48" i="9"/>
  <c r="AB48" i="9" s="1"/>
  <c r="AP48" i="9" s="1"/>
  <c r="P48" i="9"/>
  <c r="Q48" i="9" s="1"/>
  <c r="S48" i="9" s="1"/>
  <c r="Y48" i="9" s="1"/>
  <c r="O48" i="9"/>
  <c r="N48" i="9"/>
  <c r="M48" i="9"/>
  <c r="T48" i="9" s="1"/>
  <c r="U48" i="9" s="1"/>
  <c r="W48" i="9" s="1"/>
  <c r="L48" i="9"/>
  <c r="P47" i="9"/>
  <c r="Q47" i="9" s="1"/>
  <c r="O47" i="9"/>
  <c r="N47" i="9"/>
  <c r="L47" i="9"/>
  <c r="P46" i="9"/>
  <c r="Q46" i="9" s="1"/>
  <c r="S46" i="9" s="1"/>
  <c r="Y46" i="9" s="1"/>
  <c r="O46" i="9"/>
  <c r="N46" i="9"/>
  <c r="M46" i="9"/>
  <c r="T46" i="9" s="1"/>
  <c r="U46" i="9" s="1"/>
  <c r="W46" i="9" s="1"/>
  <c r="L46" i="9"/>
  <c r="P45" i="9"/>
  <c r="Q45" i="9" s="1"/>
  <c r="O45" i="9"/>
  <c r="N45" i="9"/>
  <c r="L45" i="9"/>
  <c r="Q44" i="9"/>
  <c r="P44" i="9"/>
  <c r="O44" i="9"/>
  <c r="R44" i="9" s="1"/>
  <c r="X44" i="9" s="1"/>
  <c r="N44" i="9"/>
  <c r="M44" i="9"/>
  <c r="T44" i="9" s="1"/>
  <c r="U44" i="9" s="1"/>
  <c r="W44" i="9" s="1"/>
  <c r="L44" i="9"/>
  <c r="Q43" i="9"/>
  <c r="P43" i="9"/>
  <c r="O43" i="9"/>
  <c r="N43" i="9"/>
  <c r="L43" i="9"/>
  <c r="P42" i="9"/>
  <c r="Q42" i="9" s="1"/>
  <c r="O42" i="9"/>
  <c r="N42" i="9"/>
  <c r="M42" i="9"/>
  <c r="T42" i="9" s="1"/>
  <c r="U42" i="9" s="1"/>
  <c r="W42" i="9" s="1"/>
  <c r="L42" i="9"/>
  <c r="P41" i="9"/>
  <c r="Q41" i="9" s="1"/>
  <c r="O41" i="9"/>
  <c r="N41" i="9"/>
  <c r="L41" i="9"/>
  <c r="Q40" i="9"/>
  <c r="S40" i="9" s="1"/>
  <c r="Y40" i="9" s="1"/>
  <c r="P40" i="9"/>
  <c r="O40" i="9"/>
  <c r="R40" i="9" s="1"/>
  <c r="X40" i="9" s="1"/>
  <c r="N40" i="9"/>
  <c r="M40" i="9"/>
  <c r="T40" i="9" s="1"/>
  <c r="U40" i="9" s="1"/>
  <c r="W40" i="9" s="1"/>
  <c r="L40" i="9"/>
  <c r="Q39" i="9"/>
  <c r="P39" i="9"/>
  <c r="O39" i="9"/>
  <c r="N39" i="9"/>
  <c r="L39" i="9"/>
  <c r="P38" i="9"/>
  <c r="Q38" i="9" s="1"/>
  <c r="O38" i="9"/>
  <c r="N38" i="9"/>
  <c r="M38" i="9"/>
  <c r="T38" i="9" s="1"/>
  <c r="L38" i="9"/>
  <c r="P37" i="9"/>
  <c r="Q37" i="9" s="1"/>
  <c r="O37" i="9"/>
  <c r="N37" i="9"/>
  <c r="M37" i="9"/>
  <c r="T37" i="9" s="1"/>
  <c r="L37" i="9"/>
  <c r="P36" i="9"/>
  <c r="Q36" i="9" s="1"/>
  <c r="O36" i="9"/>
  <c r="N36" i="9"/>
  <c r="M36" i="9"/>
  <c r="T36" i="9" s="1"/>
  <c r="U36" i="9" s="1"/>
  <c r="L36" i="9"/>
  <c r="P35" i="9"/>
  <c r="Q35" i="9" s="1"/>
  <c r="N35" i="9"/>
  <c r="O35" i="9" s="1"/>
  <c r="M35" i="9"/>
  <c r="T35" i="9" s="1"/>
  <c r="L35" i="9"/>
  <c r="P34" i="9"/>
  <c r="Q34" i="9" s="1"/>
  <c r="N34" i="9"/>
  <c r="O34" i="9" s="1"/>
  <c r="M34" i="9"/>
  <c r="T34" i="9" s="1"/>
  <c r="L34" i="9"/>
  <c r="Q33" i="9"/>
  <c r="P33" i="9"/>
  <c r="N33" i="9"/>
  <c r="O33" i="9" s="1"/>
  <c r="L33" i="9"/>
  <c r="Q32" i="9"/>
  <c r="S32" i="9" s="1"/>
  <c r="Y32" i="9" s="1"/>
  <c r="AF32" i="9" s="1"/>
  <c r="P32" i="9"/>
  <c r="O32" i="9"/>
  <c r="N32" i="9"/>
  <c r="M32" i="9"/>
  <c r="T32" i="9" s="1"/>
  <c r="L32" i="9"/>
  <c r="Q31" i="9"/>
  <c r="R31" i="9" s="1"/>
  <c r="X31" i="9" s="1"/>
  <c r="P31" i="9"/>
  <c r="N31" i="9"/>
  <c r="O31" i="9" s="1"/>
  <c r="L31" i="9"/>
  <c r="D31" i="9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D56" i="9" s="1"/>
  <c r="D57" i="9" s="1"/>
  <c r="D58" i="9" s="1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74" i="9" s="1"/>
  <c r="D75" i="9" s="1"/>
  <c r="D76" i="9" s="1"/>
  <c r="D77" i="9" s="1"/>
  <c r="D78" i="9" s="1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 s="1"/>
  <c r="D102" i="9" s="1"/>
  <c r="D103" i="9" s="1"/>
  <c r="D104" i="9" s="1"/>
  <c r="D105" i="9" s="1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D118" i="9" s="1"/>
  <c r="D119" i="9" s="1"/>
  <c r="D120" i="9" s="1"/>
  <c r="D121" i="9" s="1"/>
  <c r="D122" i="9" s="1"/>
  <c r="D123" i="9" s="1"/>
  <c r="D124" i="9" s="1"/>
  <c r="D125" i="9" s="1"/>
  <c r="P30" i="9"/>
  <c r="Q30" i="9" s="1"/>
  <c r="O30" i="9"/>
  <c r="N30" i="9"/>
  <c r="M30" i="9"/>
  <c r="T30" i="9" s="1"/>
  <c r="U30" i="9" s="1"/>
  <c r="L30" i="9"/>
  <c r="P29" i="9"/>
  <c r="Q29" i="9" s="1"/>
  <c r="O29" i="9"/>
  <c r="N29" i="9"/>
  <c r="L29" i="9"/>
  <c r="P28" i="9"/>
  <c r="Q28" i="9" s="1"/>
  <c r="S28" i="9" s="1"/>
  <c r="Y28" i="9" s="1"/>
  <c r="O28" i="9"/>
  <c r="N28" i="9"/>
  <c r="M28" i="9"/>
  <c r="T28" i="9" s="1"/>
  <c r="U28" i="9" s="1"/>
  <c r="L28" i="9"/>
  <c r="D28" i="9"/>
  <c r="D29" i="9" s="1"/>
  <c r="D30" i="9" s="1"/>
  <c r="Q27" i="9"/>
  <c r="S27" i="9" s="1"/>
  <c r="Y27" i="9" s="1"/>
  <c r="AF27" i="9" s="1"/>
  <c r="P27" i="9"/>
  <c r="O27" i="9"/>
  <c r="N27" i="9"/>
  <c r="M27" i="9"/>
  <c r="T27" i="9" s="1"/>
  <c r="U27" i="9" s="1"/>
  <c r="L27" i="9"/>
  <c r="D27" i="9"/>
  <c r="B27" i="9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P26" i="9"/>
  <c r="Q26" i="9" s="1"/>
  <c r="R26" i="9" s="1"/>
  <c r="X26" i="9" s="1"/>
  <c r="N26" i="9"/>
  <c r="O26" i="9" s="1"/>
  <c r="M26" i="9"/>
  <c r="T26" i="9" s="1"/>
  <c r="L26" i="9"/>
  <c r="V25" i="9"/>
  <c r="P125" i="8"/>
  <c r="Q125" i="8" s="1"/>
  <c r="O125" i="8"/>
  <c r="N125" i="8"/>
  <c r="L125" i="8"/>
  <c r="P124" i="8"/>
  <c r="Q124" i="8" s="1"/>
  <c r="N124" i="8"/>
  <c r="O124" i="8" s="1"/>
  <c r="L124" i="8"/>
  <c r="P123" i="8"/>
  <c r="Q123" i="8" s="1"/>
  <c r="O123" i="8"/>
  <c r="N123" i="8"/>
  <c r="M123" i="8"/>
  <c r="L123" i="8"/>
  <c r="P122" i="8"/>
  <c r="Q122" i="8" s="1"/>
  <c r="N122" i="8"/>
  <c r="O122" i="8" s="1"/>
  <c r="L122" i="8"/>
  <c r="P121" i="8"/>
  <c r="Q121" i="8" s="1"/>
  <c r="O121" i="8"/>
  <c r="N121" i="8"/>
  <c r="M121" i="8"/>
  <c r="L121" i="8"/>
  <c r="P120" i="8"/>
  <c r="Q120" i="8" s="1"/>
  <c r="N120" i="8"/>
  <c r="O120" i="8" s="1"/>
  <c r="L120" i="8"/>
  <c r="P119" i="8"/>
  <c r="Q119" i="8" s="1"/>
  <c r="O119" i="8"/>
  <c r="N119" i="8"/>
  <c r="L119" i="8"/>
  <c r="P118" i="8"/>
  <c r="Q118" i="8" s="1"/>
  <c r="N118" i="8"/>
  <c r="O118" i="8" s="1"/>
  <c r="L118" i="8"/>
  <c r="P117" i="8"/>
  <c r="Q117" i="8" s="1"/>
  <c r="O117" i="8"/>
  <c r="N117" i="8"/>
  <c r="L117" i="8"/>
  <c r="P116" i="8"/>
  <c r="Q116" i="8" s="1"/>
  <c r="N116" i="8"/>
  <c r="O116" i="8" s="1"/>
  <c r="M116" i="8"/>
  <c r="L116" i="8"/>
  <c r="P115" i="8"/>
  <c r="Q115" i="8" s="1"/>
  <c r="O115" i="8"/>
  <c r="N115" i="8"/>
  <c r="M115" i="8"/>
  <c r="L115" i="8"/>
  <c r="P114" i="8"/>
  <c r="Q114" i="8" s="1"/>
  <c r="N114" i="8"/>
  <c r="O114" i="8" s="1"/>
  <c r="L114" i="8"/>
  <c r="P113" i="8"/>
  <c r="Q113" i="8" s="1"/>
  <c r="O113" i="8"/>
  <c r="N113" i="8"/>
  <c r="M113" i="8"/>
  <c r="L113" i="8"/>
  <c r="P112" i="8"/>
  <c r="Q112" i="8" s="1"/>
  <c r="N112" i="8"/>
  <c r="O112" i="8" s="1"/>
  <c r="L112" i="8"/>
  <c r="P111" i="8"/>
  <c r="Q111" i="8" s="1"/>
  <c r="O111" i="8"/>
  <c r="N111" i="8"/>
  <c r="M111" i="8"/>
  <c r="L111" i="8"/>
  <c r="P110" i="8"/>
  <c r="Q110" i="8" s="1"/>
  <c r="N110" i="8"/>
  <c r="O110" i="8" s="1"/>
  <c r="L110" i="8"/>
  <c r="P109" i="8"/>
  <c r="Q109" i="8" s="1"/>
  <c r="O109" i="8"/>
  <c r="N109" i="8"/>
  <c r="L109" i="8"/>
  <c r="P108" i="8"/>
  <c r="Q108" i="8" s="1"/>
  <c r="O108" i="8"/>
  <c r="N108" i="8"/>
  <c r="M108" i="8"/>
  <c r="L108" i="8"/>
  <c r="P107" i="8"/>
  <c r="Q107" i="8" s="1"/>
  <c r="O107" i="8"/>
  <c r="N107" i="8"/>
  <c r="M107" i="8"/>
  <c r="L107" i="8"/>
  <c r="P106" i="8"/>
  <c r="Q106" i="8" s="1"/>
  <c r="N106" i="8"/>
  <c r="O106" i="8" s="1"/>
  <c r="L106" i="8"/>
  <c r="P105" i="8"/>
  <c r="Q105" i="8" s="1"/>
  <c r="O105" i="8"/>
  <c r="N105" i="8"/>
  <c r="M105" i="8"/>
  <c r="L105" i="8"/>
  <c r="P104" i="8"/>
  <c r="Q104" i="8" s="1"/>
  <c r="N104" i="8"/>
  <c r="O104" i="8" s="1"/>
  <c r="L104" i="8"/>
  <c r="P103" i="8"/>
  <c r="Q103" i="8" s="1"/>
  <c r="O103" i="8"/>
  <c r="N103" i="8"/>
  <c r="M103" i="8"/>
  <c r="L103" i="8"/>
  <c r="P102" i="8"/>
  <c r="Q102" i="8" s="1"/>
  <c r="N102" i="8"/>
  <c r="O102" i="8" s="1"/>
  <c r="L102" i="8"/>
  <c r="P101" i="8"/>
  <c r="Q101" i="8" s="1"/>
  <c r="O101" i="8"/>
  <c r="N101" i="8"/>
  <c r="L101" i="8"/>
  <c r="P100" i="8"/>
  <c r="Q100" i="8" s="1"/>
  <c r="O100" i="8"/>
  <c r="N100" i="8"/>
  <c r="M100" i="8"/>
  <c r="L100" i="8"/>
  <c r="P99" i="8"/>
  <c r="Q99" i="8" s="1"/>
  <c r="O99" i="8"/>
  <c r="N99" i="8"/>
  <c r="M99" i="8"/>
  <c r="L99" i="8"/>
  <c r="P98" i="8"/>
  <c r="Q98" i="8" s="1"/>
  <c r="N98" i="8"/>
  <c r="O98" i="8" s="1"/>
  <c r="L98" i="8"/>
  <c r="P97" i="8"/>
  <c r="Q97" i="8" s="1"/>
  <c r="O97" i="8"/>
  <c r="N97" i="8"/>
  <c r="M97" i="8"/>
  <c r="L97" i="8"/>
  <c r="P96" i="8"/>
  <c r="Q96" i="8" s="1"/>
  <c r="O96" i="8"/>
  <c r="N96" i="8"/>
  <c r="M96" i="8"/>
  <c r="L96" i="8"/>
  <c r="P95" i="8"/>
  <c r="Q95" i="8" s="1"/>
  <c r="O95" i="8"/>
  <c r="N95" i="8"/>
  <c r="M95" i="8"/>
  <c r="L95" i="8"/>
  <c r="P94" i="8"/>
  <c r="Q94" i="8" s="1"/>
  <c r="N94" i="8"/>
  <c r="O94" i="8" s="1"/>
  <c r="L94" i="8"/>
  <c r="P93" i="8"/>
  <c r="Q93" i="8" s="1"/>
  <c r="N93" i="8"/>
  <c r="O93" i="8" s="1"/>
  <c r="L93" i="8"/>
  <c r="P92" i="8"/>
  <c r="Q92" i="8" s="1"/>
  <c r="N92" i="8"/>
  <c r="O92" i="8" s="1"/>
  <c r="L92" i="8"/>
  <c r="P91" i="8"/>
  <c r="Q91" i="8" s="1"/>
  <c r="O91" i="8"/>
  <c r="N91" i="8"/>
  <c r="L91" i="8"/>
  <c r="P90" i="8"/>
  <c r="Q90" i="8" s="1"/>
  <c r="N90" i="8"/>
  <c r="O90" i="8" s="1"/>
  <c r="L90" i="8"/>
  <c r="P89" i="8"/>
  <c r="Q89" i="8" s="1"/>
  <c r="O89" i="8"/>
  <c r="N89" i="8"/>
  <c r="L89" i="8"/>
  <c r="P88" i="8"/>
  <c r="Q88" i="8" s="1"/>
  <c r="N88" i="8"/>
  <c r="O88" i="8" s="1"/>
  <c r="L88" i="8"/>
  <c r="P87" i="8"/>
  <c r="Q87" i="8" s="1"/>
  <c r="O87" i="8"/>
  <c r="N87" i="8"/>
  <c r="L87" i="8"/>
  <c r="P86" i="8"/>
  <c r="Q86" i="8" s="1"/>
  <c r="N86" i="8"/>
  <c r="O86" i="8" s="1"/>
  <c r="M86" i="8"/>
  <c r="L86" i="8"/>
  <c r="P85" i="8"/>
  <c r="Q85" i="8" s="1"/>
  <c r="O85" i="8"/>
  <c r="N85" i="8"/>
  <c r="L85" i="8"/>
  <c r="P84" i="8"/>
  <c r="Q84" i="8" s="1"/>
  <c r="N84" i="8"/>
  <c r="O84" i="8" s="1"/>
  <c r="M84" i="8"/>
  <c r="L84" i="8"/>
  <c r="P83" i="8"/>
  <c r="Q83" i="8" s="1"/>
  <c r="N83" i="8"/>
  <c r="O83" i="8" s="1"/>
  <c r="L83" i="8"/>
  <c r="P82" i="8"/>
  <c r="Q82" i="8" s="1"/>
  <c r="N82" i="8"/>
  <c r="O82" i="8" s="1"/>
  <c r="M82" i="8"/>
  <c r="L82" i="8"/>
  <c r="P81" i="8"/>
  <c r="Q81" i="8" s="1"/>
  <c r="O81" i="8"/>
  <c r="N81" i="8"/>
  <c r="L81" i="8"/>
  <c r="P80" i="8"/>
  <c r="Q80" i="8" s="1"/>
  <c r="N80" i="8"/>
  <c r="O80" i="8" s="1"/>
  <c r="L80" i="8"/>
  <c r="P79" i="8"/>
  <c r="Q79" i="8" s="1"/>
  <c r="O79" i="8"/>
  <c r="N79" i="8"/>
  <c r="L79" i="8"/>
  <c r="P78" i="8"/>
  <c r="Q78" i="8" s="1"/>
  <c r="N78" i="8"/>
  <c r="O78" i="8" s="1"/>
  <c r="M78" i="8"/>
  <c r="L78" i="8"/>
  <c r="P77" i="8"/>
  <c r="Q77" i="8" s="1"/>
  <c r="O77" i="8"/>
  <c r="N77" i="8"/>
  <c r="L77" i="8"/>
  <c r="P76" i="8"/>
  <c r="Q76" i="8" s="1"/>
  <c r="N76" i="8"/>
  <c r="O76" i="8" s="1"/>
  <c r="M76" i="8"/>
  <c r="L76" i="8"/>
  <c r="P75" i="8"/>
  <c r="Q75" i="8" s="1"/>
  <c r="O75" i="8"/>
  <c r="N75" i="8"/>
  <c r="L75" i="8"/>
  <c r="P74" i="8"/>
  <c r="Q74" i="8" s="1"/>
  <c r="N74" i="8"/>
  <c r="O74" i="8" s="1"/>
  <c r="M74" i="8"/>
  <c r="L74" i="8"/>
  <c r="P73" i="8"/>
  <c r="Q73" i="8" s="1"/>
  <c r="O73" i="8"/>
  <c r="N73" i="8"/>
  <c r="L73" i="8"/>
  <c r="P72" i="8"/>
  <c r="Q72" i="8" s="1"/>
  <c r="N72" i="8"/>
  <c r="O72" i="8" s="1"/>
  <c r="M72" i="8"/>
  <c r="L72" i="8"/>
  <c r="P71" i="8"/>
  <c r="Q71" i="8" s="1"/>
  <c r="O71" i="8"/>
  <c r="N71" i="8"/>
  <c r="L71" i="8"/>
  <c r="P70" i="8"/>
  <c r="Q70" i="8" s="1"/>
  <c r="N70" i="8"/>
  <c r="O70" i="8" s="1"/>
  <c r="M70" i="8"/>
  <c r="L70" i="8"/>
  <c r="P69" i="8"/>
  <c r="Q69" i="8" s="1"/>
  <c r="O69" i="8"/>
  <c r="N69" i="8"/>
  <c r="L69" i="8"/>
  <c r="P68" i="8"/>
  <c r="Q68" i="8" s="1"/>
  <c r="N68" i="8"/>
  <c r="O68" i="8" s="1"/>
  <c r="M68" i="8"/>
  <c r="L68" i="8"/>
  <c r="P67" i="8"/>
  <c r="Q67" i="8" s="1"/>
  <c r="N67" i="8"/>
  <c r="O67" i="8" s="1"/>
  <c r="L67" i="8"/>
  <c r="P66" i="8"/>
  <c r="Q66" i="8" s="1"/>
  <c r="O66" i="8"/>
  <c r="N66" i="8"/>
  <c r="L66" i="8"/>
  <c r="P65" i="8"/>
  <c r="Q65" i="8" s="1"/>
  <c r="O65" i="8"/>
  <c r="N65" i="8"/>
  <c r="M65" i="8"/>
  <c r="L65" i="8"/>
  <c r="P64" i="8"/>
  <c r="Q64" i="8" s="1"/>
  <c r="N64" i="8"/>
  <c r="O64" i="8" s="1"/>
  <c r="L64" i="8"/>
  <c r="P63" i="8"/>
  <c r="Q63" i="8" s="1"/>
  <c r="R63" i="8" s="1"/>
  <c r="O63" i="8"/>
  <c r="N63" i="8"/>
  <c r="M63" i="8"/>
  <c r="L63" i="8"/>
  <c r="P62" i="8"/>
  <c r="Q62" i="8" s="1"/>
  <c r="S62" i="8" s="1"/>
  <c r="N62" i="8"/>
  <c r="O62" i="8" s="1"/>
  <c r="M62" i="8"/>
  <c r="L62" i="8"/>
  <c r="P61" i="8"/>
  <c r="Q61" i="8" s="1"/>
  <c r="S61" i="8" s="1"/>
  <c r="O61" i="8"/>
  <c r="N61" i="8"/>
  <c r="M61" i="8"/>
  <c r="L61" i="8"/>
  <c r="P60" i="8"/>
  <c r="Q60" i="8" s="1"/>
  <c r="N60" i="8"/>
  <c r="O60" i="8" s="1"/>
  <c r="L60" i="8"/>
  <c r="P59" i="8"/>
  <c r="Q59" i="8" s="1"/>
  <c r="S59" i="8" s="1"/>
  <c r="O59" i="8"/>
  <c r="N59" i="8"/>
  <c r="M59" i="8"/>
  <c r="L59" i="8"/>
  <c r="AC58" i="8"/>
  <c r="AA58" i="8"/>
  <c r="AB58" i="8" s="1"/>
  <c r="AP58" i="8" s="1"/>
  <c r="P58" i="8"/>
  <c r="Q58" i="8" s="1"/>
  <c r="R58" i="8" s="1"/>
  <c r="O58" i="8"/>
  <c r="N58" i="8"/>
  <c r="M58" i="8"/>
  <c r="T58" i="8" s="1"/>
  <c r="U58" i="8" s="1"/>
  <c r="L58" i="8"/>
  <c r="AC57" i="8"/>
  <c r="AA57" i="8"/>
  <c r="AB57" i="8" s="1"/>
  <c r="AP57" i="8" s="1"/>
  <c r="P57" i="8"/>
  <c r="Q57" i="8" s="1"/>
  <c r="R57" i="8" s="1"/>
  <c r="O57" i="8"/>
  <c r="N57" i="8"/>
  <c r="M57" i="8"/>
  <c r="T57" i="8" s="1"/>
  <c r="U57" i="8" s="1"/>
  <c r="L57" i="8"/>
  <c r="AP56" i="8"/>
  <c r="AC56" i="8"/>
  <c r="AA56" i="8"/>
  <c r="AB56" i="8" s="1"/>
  <c r="P56" i="8"/>
  <c r="Q56" i="8" s="1"/>
  <c r="R56" i="8" s="1"/>
  <c r="O56" i="8"/>
  <c r="N56" i="8"/>
  <c r="M56" i="8"/>
  <c r="T56" i="8" s="1"/>
  <c r="U56" i="8" s="1"/>
  <c r="L56" i="8"/>
  <c r="AC55" i="8"/>
  <c r="AA55" i="8"/>
  <c r="AB55" i="8" s="1"/>
  <c r="AP55" i="8" s="1"/>
  <c r="P55" i="8"/>
  <c r="Q55" i="8" s="1"/>
  <c r="S55" i="8" s="1"/>
  <c r="O55" i="8"/>
  <c r="N55" i="8"/>
  <c r="M55" i="8"/>
  <c r="T55" i="8" s="1"/>
  <c r="U55" i="8" s="1"/>
  <c r="L55" i="8"/>
  <c r="AC54" i="8"/>
  <c r="AA54" i="8"/>
  <c r="AB54" i="8" s="1"/>
  <c r="AP54" i="8" s="1"/>
  <c r="P54" i="8"/>
  <c r="Q54" i="8" s="1"/>
  <c r="S54" i="8" s="1"/>
  <c r="O54" i="8"/>
  <c r="N54" i="8"/>
  <c r="M54" i="8"/>
  <c r="T54" i="8" s="1"/>
  <c r="U54" i="8" s="1"/>
  <c r="L54" i="8"/>
  <c r="P53" i="8"/>
  <c r="Q53" i="8" s="1"/>
  <c r="S53" i="8" s="1"/>
  <c r="O53" i="8"/>
  <c r="N53" i="8"/>
  <c r="L53" i="8"/>
  <c r="P52" i="8"/>
  <c r="Q52" i="8" s="1"/>
  <c r="O52" i="8"/>
  <c r="N52" i="8"/>
  <c r="M52" i="8"/>
  <c r="L52" i="8"/>
  <c r="P51" i="8"/>
  <c r="Q51" i="8" s="1"/>
  <c r="S51" i="8" s="1"/>
  <c r="N51" i="8"/>
  <c r="O51" i="8" s="1"/>
  <c r="L51" i="8"/>
  <c r="P50" i="8"/>
  <c r="Q50" i="8" s="1"/>
  <c r="R50" i="8" s="1"/>
  <c r="O50" i="8"/>
  <c r="N50" i="8"/>
  <c r="M50" i="8"/>
  <c r="L50" i="8"/>
  <c r="P49" i="8"/>
  <c r="Q49" i="8" s="1"/>
  <c r="R49" i="8" s="1"/>
  <c r="N49" i="8"/>
  <c r="O49" i="8" s="1"/>
  <c r="M49" i="8"/>
  <c r="L49" i="8"/>
  <c r="P48" i="8"/>
  <c r="Q48" i="8" s="1"/>
  <c r="R48" i="8" s="1"/>
  <c r="O48" i="8"/>
  <c r="N48" i="8"/>
  <c r="M48" i="8"/>
  <c r="L48" i="8"/>
  <c r="P47" i="8"/>
  <c r="Q47" i="8" s="1"/>
  <c r="S47" i="8" s="1"/>
  <c r="N47" i="8"/>
  <c r="O47" i="8" s="1"/>
  <c r="L47" i="8"/>
  <c r="P46" i="8"/>
  <c r="Q46" i="8" s="1"/>
  <c r="S46" i="8" s="1"/>
  <c r="O46" i="8"/>
  <c r="N46" i="8"/>
  <c r="M46" i="8"/>
  <c r="L46" i="8"/>
  <c r="P45" i="8"/>
  <c r="Q45" i="8" s="1"/>
  <c r="S45" i="8" s="1"/>
  <c r="O45" i="8"/>
  <c r="N45" i="8"/>
  <c r="M45" i="8"/>
  <c r="L45" i="8"/>
  <c r="P44" i="8"/>
  <c r="Q44" i="8" s="1"/>
  <c r="S44" i="8" s="1"/>
  <c r="O44" i="8"/>
  <c r="N44" i="8"/>
  <c r="M44" i="8"/>
  <c r="L44" i="8"/>
  <c r="P43" i="8"/>
  <c r="Q43" i="8" s="1"/>
  <c r="S43" i="8" s="1"/>
  <c r="N43" i="8"/>
  <c r="O43" i="8" s="1"/>
  <c r="L43" i="8"/>
  <c r="P42" i="8"/>
  <c r="Q42" i="8" s="1"/>
  <c r="R42" i="8" s="1"/>
  <c r="O42" i="8"/>
  <c r="N42" i="8"/>
  <c r="M42" i="8"/>
  <c r="L42" i="8"/>
  <c r="P41" i="8"/>
  <c r="Q41" i="8" s="1"/>
  <c r="O41" i="8"/>
  <c r="N41" i="8"/>
  <c r="M41" i="8"/>
  <c r="L41" i="8"/>
  <c r="P40" i="8"/>
  <c r="Q40" i="8" s="1"/>
  <c r="R40" i="8" s="1"/>
  <c r="O40" i="8"/>
  <c r="N40" i="8"/>
  <c r="M40" i="8"/>
  <c r="L40" i="8"/>
  <c r="P39" i="8"/>
  <c r="Q39" i="8" s="1"/>
  <c r="S39" i="8" s="1"/>
  <c r="N39" i="8"/>
  <c r="O39" i="8" s="1"/>
  <c r="L39" i="8"/>
  <c r="P38" i="8"/>
  <c r="Q38" i="8" s="1"/>
  <c r="S38" i="8" s="1"/>
  <c r="O38" i="8"/>
  <c r="N38" i="8"/>
  <c r="M38" i="8"/>
  <c r="L38" i="8"/>
  <c r="P37" i="8"/>
  <c r="Q37" i="8" s="1"/>
  <c r="S37" i="8" s="1"/>
  <c r="O37" i="8"/>
  <c r="N37" i="8"/>
  <c r="M37" i="8"/>
  <c r="L37" i="8"/>
  <c r="P36" i="8"/>
  <c r="Q36" i="8" s="1"/>
  <c r="S36" i="8" s="1"/>
  <c r="O36" i="8"/>
  <c r="N36" i="8"/>
  <c r="M36" i="8"/>
  <c r="L36" i="8"/>
  <c r="P35" i="8"/>
  <c r="Q35" i="8" s="1"/>
  <c r="R35" i="8" s="1"/>
  <c r="N35" i="8"/>
  <c r="O35" i="8" s="1"/>
  <c r="L35" i="8"/>
  <c r="P34" i="8"/>
  <c r="Q34" i="8" s="1"/>
  <c r="R34" i="8" s="1"/>
  <c r="O34" i="8"/>
  <c r="N34" i="8"/>
  <c r="M34" i="8"/>
  <c r="L34" i="8"/>
  <c r="P33" i="8"/>
  <c r="Q33" i="8" s="1"/>
  <c r="R33" i="8" s="1"/>
  <c r="O33" i="8"/>
  <c r="N33" i="8"/>
  <c r="L33" i="8"/>
  <c r="P32" i="8"/>
  <c r="Q32" i="8" s="1"/>
  <c r="R32" i="8" s="1"/>
  <c r="O32" i="8"/>
  <c r="N32" i="8"/>
  <c r="M32" i="8"/>
  <c r="L32" i="8"/>
  <c r="P31" i="8"/>
  <c r="Q31" i="8" s="1"/>
  <c r="R31" i="8" s="1"/>
  <c r="N31" i="8"/>
  <c r="O31" i="8" s="1"/>
  <c r="L31" i="8"/>
  <c r="P30" i="8"/>
  <c r="Q30" i="8" s="1"/>
  <c r="R30" i="8" s="1"/>
  <c r="O30" i="8"/>
  <c r="N30" i="8"/>
  <c r="M30" i="8"/>
  <c r="L30" i="8"/>
  <c r="P29" i="8"/>
  <c r="Q29" i="8" s="1"/>
  <c r="N29" i="8"/>
  <c r="O29" i="8" s="1"/>
  <c r="L29" i="8"/>
  <c r="D29" i="8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P28" i="8"/>
  <c r="Q28" i="8" s="1"/>
  <c r="O28" i="8"/>
  <c r="N28" i="8"/>
  <c r="M28" i="8"/>
  <c r="L28" i="8"/>
  <c r="D28" i="8"/>
  <c r="P27" i="8"/>
  <c r="Q27" i="8" s="1"/>
  <c r="N27" i="8"/>
  <c r="O27" i="8" s="1"/>
  <c r="L27" i="8"/>
  <c r="D27" i="8"/>
  <c r="B27" i="8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P26" i="8"/>
  <c r="Q26" i="8" s="1"/>
  <c r="R26" i="8" s="1"/>
  <c r="O26" i="8"/>
  <c r="N26" i="8"/>
  <c r="M26" i="8"/>
  <c r="L26" i="8"/>
  <c r="V25" i="8"/>
  <c r="P125" i="7"/>
  <c r="Q125" i="7" s="1"/>
  <c r="N125" i="7"/>
  <c r="O125" i="7" s="1"/>
  <c r="L125" i="7"/>
  <c r="M125" i="7" s="1"/>
  <c r="P124" i="7"/>
  <c r="Q124" i="7" s="1"/>
  <c r="N124" i="7"/>
  <c r="O124" i="7" s="1"/>
  <c r="M124" i="7"/>
  <c r="L124" i="7"/>
  <c r="P123" i="7"/>
  <c r="Q123" i="7" s="1"/>
  <c r="N123" i="7"/>
  <c r="O123" i="7" s="1"/>
  <c r="L123" i="7"/>
  <c r="M123" i="7" s="1"/>
  <c r="P122" i="7"/>
  <c r="Q122" i="7" s="1"/>
  <c r="N122" i="7"/>
  <c r="O122" i="7" s="1"/>
  <c r="L122" i="7"/>
  <c r="M122" i="7" s="1"/>
  <c r="P121" i="7"/>
  <c r="Q121" i="7" s="1"/>
  <c r="N121" i="7"/>
  <c r="O121" i="7" s="1"/>
  <c r="M121" i="7"/>
  <c r="L121" i="7"/>
  <c r="P120" i="7"/>
  <c r="Q120" i="7" s="1"/>
  <c r="N120" i="7"/>
  <c r="O120" i="7" s="1"/>
  <c r="L120" i="7"/>
  <c r="M120" i="7" s="1"/>
  <c r="T120" i="7" s="1"/>
  <c r="P119" i="7"/>
  <c r="Q119" i="7" s="1"/>
  <c r="N119" i="7"/>
  <c r="O119" i="7" s="1"/>
  <c r="L119" i="7"/>
  <c r="M119" i="7" s="1"/>
  <c r="P118" i="7"/>
  <c r="Q118" i="7" s="1"/>
  <c r="N118" i="7"/>
  <c r="O118" i="7" s="1"/>
  <c r="L118" i="7"/>
  <c r="M118" i="7" s="1"/>
  <c r="T118" i="7" s="1"/>
  <c r="U118" i="7" s="1"/>
  <c r="Z118" i="7" s="1"/>
  <c r="AA118" i="7" s="1"/>
  <c r="AB118" i="7" s="1"/>
  <c r="AP118" i="7" s="1"/>
  <c r="P117" i="7"/>
  <c r="Q117" i="7" s="1"/>
  <c r="N117" i="7"/>
  <c r="O117" i="7" s="1"/>
  <c r="L117" i="7"/>
  <c r="M117" i="7" s="1"/>
  <c r="P116" i="7"/>
  <c r="Q116" i="7" s="1"/>
  <c r="N116" i="7"/>
  <c r="O116" i="7" s="1"/>
  <c r="L116" i="7"/>
  <c r="M116" i="7" s="1"/>
  <c r="P115" i="7"/>
  <c r="Q115" i="7" s="1"/>
  <c r="N115" i="7"/>
  <c r="O115" i="7" s="1"/>
  <c r="M115" i="7"/>
  <c r="L115" i="7"/>
  <c r="P114" i="7"/>
  <c r="Q114" i="7" s="1"/>
  <c r="N114" i="7"/>
  <c r="O114" i="7" s="1"/>
  <c r="L114" i="7"/>
  <c r="M114" i="7" s="1"/>
  <c r="P113" i="7"/>
  <c r="Q113" i="7" s="1"/>
  <c r="N113" i="7"/>
  <c r="O113" i="7" s="1"/>
  <c r="L113" i="7"/>
  <c r="M113" i="7" s="1"/>
  <c r="P112" i="7"/>
  <c r="Q112" i="7" s="1"/>
  <c r="N112" i="7"/>
  <c r="O112" i="7" s="1"/>
  <c r="M112" i="7"/>
  <c r="T112" i="7" s="1"/>
  <c r="U112" i="7" s="1"/>
  <c r="W112" i="7" s="1"/>
  <c r="L112" i="7"/>
  <c r="P111" i="7"/>
  <c r="Q111" i="7" s="1"/>
  <c r="N111" i="7"/>
  <c r="O111" i="7" s="1"/>
  <c r="L111" i="7"/>
  <c r="M111" i="7" s="1"/>
  <c r="P110" i="7"/>
  <c r="Q110" i="7" s="1"/>
  <c r="N110" i="7"/>
  <c r="O110" i="7" s="1"/>
  <c r="M110" i="7"/>
  <c r="T110" i="7" s="1"/>
  <c r="L110" i="7"/>
  <c r="P109" i="7"/>
  <c r="Q109" i="7" s="1"/>
  <c r="N109" i="7"/>
  <c r="O109" i="7" s="1"/>
  <c r="L109" i="7"/>
  <c r="M109" i="7" s="1"/>
  <c r="P108" i="7"/>
  <c r="Q108" i="7" s="1"/>
  <c r="N108" i="7"/>
  <c r="O108" i="7" s="1"/>
  <c r="L108" i="7"/>
  <c r="M108" i="7" s="1"/>
  <c r="P107" i="7"/>
  <c r="Q107" i="7" s="1"/>
  <c r="N107" i="7"/>
  <c r="O107" i="7" s="1"/>
  <c r="L107" i="7"/>
  <c r="M107" i="7" s="1"/>
  <c r="P106" i="7"/>
  <c r="Q106" i="7" s="1"/>
  <c r="N106" i="7"/>
  <c r="O106" i="7" s="1"/>
  <c r="L106" i="7"/>
  <c r="M106" i="7" s="1"/>
  <c r="P105" i="7"/>
  <c r="Q105" i="7" s="1"/>
  <c r="N105" i="7"/>
  <c r="O105" i="7" s="1"/>
  <c r="L105" i="7"/>
  <c r="M105" i="7" s="1"/>
  <c r="P104" i="7"/>
  <c r="Q104" i="7" s="1"/>
  <c r="N104" i="7"/>
  <c r="O104" i="7" s="1"/>
  <c r="L104" i="7"/>
  <c r="M104" i="7" s="1"/>
  <c r="P103" i="7"/>
  <c r="Q103" i="7" s="1"/>
  <c r="N103" i="7"/>
  <c r="O103" i="7" s="1"/>
  <c r="L103" i="7"/>
  <c r="M103" i="7" s="1"/>
  <c r="P102" i="7"/>
  <c r="Q102" i="7" s="1"/>
  <c r="N102" i="7"/>
  <c r="O102" i="7" s="1"/>
  <c r="L102" i="7"/>
  <c r="P101" i="7"/>
  <c r="Q101" i="7" s="1"/>
  <c r="N101" i="7"/>
  <c r="O101" i="7" s="1"/>
  <c r="L101" i="7"/>
  <c r="P100" i="7"/>
  <c r="Q100" i="7" s="1"/>
  <c r="N100" i="7"/>
  <c r="O100" i="7" s="1"/>
  <c r="L100" i="7"/>
  <c r="P99" i="7"/>
  <c r="Q99" i="7" s="1"/>
  <c r="N99" i="7"/>
  <c r="O99" i="7" s="1"/>
  <c r="L99" i="7"/>
  <c r="P98" i="7"/>
  <c r="Q98" i="7" s="1"/>
  <c r="N98" i="7"/>
  <c r="O98" i="7" s="1"/>
  <c r="L98" i="7"/>
  <c r="P97" i="7"/>
  <c r="Q97" i="7" s="1"/>
  <c r="N97" i="7"/>
  <c r="O97" i="7" s="1"/>
  <c r="L97" i="7"/>
  <c r="P96" i="7"/>
  <c r="Q96" i="7" s="1"/>
  <c r="N96" i="7"/>
  <c r="O96" i="7" s="1"/>
  <c r="L96" i="7"/>
  <c r="P95" i="7"/>
  <c r="Q95" i="7" s="1"/>
  <c r="S95" i="7" s="1"/>
  <c r="Y95" i="7" s="1"/>
  <c r="AF95" i="7" s="1"/>
  <c r="N95" i="7"/>
  <c r="O95" i="7" s="1"/>
  <c r="L95" i="7"/>
  <c r="P94" i="7"/>
  <c r="Q94" i="7" s="1"/>
  <c r="N94" i="7"/>
  <c r="O94" i="7" s="1"/>
  <c r="L94" i="7"/>
  <c r="P93" i="7"/>
  <c r="Q93" i="7" s="1"/>
  <c r="R93" i="7" s="1"/>
  <c r="X93" i="7" s="1"/>
  <c r="N93" i="7"/>
  <c r="O93" i="7" s="1"/>
  <c r="L93" i="7"/>
  <c r="P92" i="7"/>
  <c r="Q92" i="7" s="1"/>
  <c r="N92" i="7"/>
  <c r="O92" i="7" s="1"/>
  <c r="L92" i="7"/>
  <c r="P91" i="7"/>
  <c r="Q91" i="7" s="1"/>
  <c r="N91" i="7"/>
  <c r="O91" i="7" s="1"/>
  <c r="L91" i="7"/>
  <c r="P90" i="7"/>
  <c r="Q90" i="7" s="1"/>
  <c r="N90" i="7"/>
  <c r="O90" i="7" s="1"/>
  <c r="L90" i="7"/>
  <c r="P89" i="7"/>
  <c r="Q89" i="7" s="1"/>
  <c r="N89" i="7"/>
  <c r="O89" i="7" s="1"/>
  <c r="L89" i="7"/>
  <c r="P88" i="7"/>
  <c r="Q88" i="7" s="1"/>
  <c r="N88" i="7"/>
  <c r="O88" i="7" s="1"/>
  <c r="L88" i="7"/>
  <c r="P87" i="7"/>
  <c r="Q87" i="7" s="1"/>
  <c r="S87" i="7" s="1"/>
  <c r="Y87" i="7" s="1"/>
  <c r="N87" i="7"/>
  <c r="O87" i="7" s="1"/>
  <c r="L87" i="7"/>
  <c r="P86" i="7"/>
  <c r="Q86" i="7" s="1"/>
  <c r="N86" i="7"/>
  <c r="O86" i="7" s="1"/>
  <c r="L86" i="7"/>
  <c r="P85" i="7"/>
  <c r="Q85" i="7" s="1"/>
  <c r="O85" i="7"/>
  <c r="N85" i="7"/>
  <c r="L85" i="7"/>
  <c r="M85" i="7" s="1"/>
  <c r="P84" i="7"/>
  <c r="Q84" i="7" s="1"/>
  <c r="N84" i="7"/>
  <c r="O84" i="7" s="1"/>
  <c r="M84" i="7"/>
  <c r="T84" i="7" s="1"/>
  <c r="U84" i="7" s="1"/>
  <c r="W84" i="7" s="1"/>
  <c r="L84" i="7"/>
  <c r="P83" i="7"/>
  <c r="Q83" i="7" s="1"/>
  <c r="N83" i="7"/>
  <c r="O83" i="7" s="1"/>
  <c r="M83" i="7"/>
  <c r="L83" i="7"/>
  <c r="P82" i="7"/>
  <c r="Q82" i="7" s="1"/>
  <c r="N82" i="7"/>
  <c r="O82" i="7" s="1"/>
  <c r="L82" i="7"/>
  <c r="M82" i="7" s="1"/>
  <c r="T82" i="7" s="1"/>
  <c r="P81" i="7"/>
  <c r="Q81" i="7" s="1"/>
  <c r="N81" i="7"/>
  <c r="O81" i="7" s="1"/>
  <c r="L81" i="7"/>
  <c r="M81" i="7" s="1"/>
  <c r="P80" i="7"/>
  <c r="Q80" i="7" s="1"/>
  <c r="N80" i="7"/>
  <c r="O80" i="7" s="1"/>
  <c r="M80" i="7"/>
  <c r="T80" i="7" s="1"/>
  <c r="U80" i="7" s="1"/>
  <c r="L80" i="7"/>
  <c r="P79" i="7"/>
  <c r="Q79" i="7" s="1"/>
  <c r="N79" i="7"/>
  <c r="O79" i="7" s="1"/>
  <c r="L79" i="7"/>
  <c r="M79" i="7" s="1"/>
  <c r="P78" i="7"/>
  <c r="Q78" i="7" s="1"/>
  <c r="N78" i="7"/>
  <c r="O78" i="7" s="1"/>
  <c r="L78" i="7"/>
  <c r="M78" i="7" s="1"/>
  <c r="T78" i="7" s="1"/>
  <c r="P77" i="7"/>
  <c r="Q77" i="7" s="1"/>
  <c r="O77" i="7"/>
  <c r="N77" i="7"/>
  <c r="L77" i="7"/>
  <c r="M77" i="7" s="1"/>
  <c r="P76" i="7"/>
  <c r="Q76" i="7" s="1"/>
  <c r="R76" i="7" s="1"/>
  <c r="X76" i="7" s="1"/>
  <c r="N76" i="7"/>
  <c r="O76" i="7" s="1"/>
  <c r="L76" i="7"/>
  <c r="M76" i="7" s="1"/>
  <c r="T76" i="7" s="1"/>
  <c r="U76" i="7" s="1"/>
  <c r="P75" i="7"/>
  <c r="Q75" i="7" s="1"/>
  <c r="N75" i="7"/>
  <c r="O75" i="7" s="1"/>
  <c r="L75" i="7"/>
  <c r="M75" i="7" s="1"/>
  <c r="P74" i="7"/>
  <c r="Q74" i="7" s="1"/>
  <c r="N74" i="7"/>
  <c r="O74" i="7" s="1"/>
  <c r="L74" i="7"/>
  <c r="M74" i="7" s="1"/>
  <c r="P73" i="7"/>
  <c r="Q73" i="7" s="1"/>
  <c r="N73" i="7"/>
  <c r="O73" i="7" s="1"/>
  <c r="L73" i="7"/>
  <c r="M73" i="7" s="1"/>
  <c r="T73" i="7" s="1"/>
  <c r="U73" i="7" s="1"/>
  <c r="W73" i="7" s="1"/>
  <c r="P72" i="7"/>
  <c r="Q72" i="7" s="1"/>
  <c r="N72" i="7"/>
  <c r="O72" i="7" s="1"/>
  <c r="M72" i="7"/>
  <c r="T72" i="7" s="1"/>
  <c r="P71" i="7"/>
  <c r="Q71" i="7" s="1"/>
  <c r="N71" i="7"/>
  <c r="O71" i="7" s="1"/>
  <c r="L71" i="7"/>
  <c r="M71" i="7" s="1"/>
  <c r="P70" i="7"/>
  <c r="Q70" i="7" s="1"/>
  <c r="N70" i="7"/>
  <c r="O70" i="7" s="1"/>
  <c r="L70" i="7"/>
  <c r="M70" i="7" s="1"/>
  <c r="P69" i="7"/>
  <c r="Q69" i="7" s="1"/>
  <c r="N69" i="7"/>
  <c r="O69" i="7" s="1"/>
  <c r="L69" i="7"/>
  <c r="P68" i="7"/>
  <c r="Q68" i="7" s="1"/>
  <c r="N68" i="7"/>
  <c r="O68" i="7" s="1"/>
  <c r="L68" i="7"/>
  <c r="M68" i="7" s="1"/>
  <c r="T68" i="7" s="1"/>
  <c r="U68" i="7" s="1"/>
  <c r="P67" i="7"/>
  <c r="Q67" i="7" s="1"/>
  <c r="N67" i="7"/>
  <c r="O67" i="7" s="1"/>
  <c r="L67" i="7"/>
  <c r="P66" i="7"/>
  <c r="Q66" i="7" s="1"/>
  <c r="N66" i="7"/>
  <c r="O66" i="7" s="1"/>
  <c r="L66" i="7"/>
  <c r="M66" i="7" s="1"/>
  <c r="P65" i="7"/>
  <c r="Q65" i="7" s="1"/>
  <c r="N65" i="7"/>
  <c r="O65" i="7" s="1"/>
  <c r="L65" i="7"/>
  <c r="P64" i="7"/>
  <c r="Q64" i="7" s="1"/>
  <c r="N64" i="7"/>
  <c r="O64" i="7" s="1"/>
  <c r="L64" i="7"/>
  <c r="P63" i="7"/>
  <c r="Q63" i="7" s="1"/>
  <c r="N63" i="7"/>
  <c r="O63" i="7" s="1"/>
  <c r="L63" i="7"/>
  <c r="P62" i="7"/>
  <c r="Q62" i="7" s="1"/>
  <c r="N62" i="7"/>
  <c r="O62" i="7" s="1"/>
  <c r="L62" i="7"/>
  <c r="P61" i="7"/>
  <c r="Q61" i="7" s="1"/>
  <c r="N61" i="7"/>
  <c r="O61" i="7" s="1"/>
  <c r="L61" i="7"/>
  <c r="P60" i="7"/>
  <c r="Q60" i="7" s="1"/>
  <c r="N60" i="7"/>
  <c r="O60" i="7" s="1"/>
  <c r="L60" i="7"/>
  <c r="M60" i="7" s="1"/>
  <c r="P59" i="7"/>
  <c r="Q59" i="7" s="1"/>
  <c r="N59" i="7"/>
  <c r="O59" i="7" s="1"/>
  <c r="L59" i="7"/>
  <c r="M59" i="7" s="1"/>
  <c r="T59" i="7" s="1"/>
  <c r="U59" i="7" s="1"/>
  <c r="W59" i="7" s="1"/>
  <c r="AA58" i="7"/>
  <c r="AB58" i="7" s="1"/>
  <c r="P58" i="7"/>
  <c r="Q58" i="7" s="1"/>
  <c r="N58" i="7"/>
  <c r="O58" i="7" s="1"/>
  <c r="L58" i="7"/>
  <c r="M58" i="7" s="1"/>
  <c r="T58" i="7" s="1"/>
  <c r="U58" i="7" s="1"/>
  <c r="AA57" i="7"/>
  <c r="AB57" i="7" s="1"/>
  <c r="P57" i="7"/>
  <c r="Q57" i="7" s="1"/>
  <c r="N57" i="7"/>
  <c r="O57" i="7" s="1"/>
  <c r="L57" i="7"/>
  <c r="AM57" i="7" s="1"/>
  <c r="AA56" i="7"/>
  <c r="AB56" i="7" s="1"/>
  <c r="P56" i="7"/>
  <c r="Q56" i="7" s="1"/>
  <c r="N56" i="7"/>
  <c r="O56" i="7" s="1"/>
  <c r="L56" i="7"/>
  <c r="AM56" i="7" s="1"/>
  <c r="AA55" i="7"/>
  <c r="AB55" i="7" s="1"/>
  <c r="P55" i="7"/>
  <c r="Q55" i="7" s="1"/>
  <c r="N55" i="7"/>
  <c r="O55" i="7" s="1"/>
  <c r="L55" i="7"/>
  <c r="M55" i="7" s="1"/>
  <c r="AB54" i="7"/>
  <c r="AA54" i="7"/>
  <c r="P54" i="7"/>
  <c r="Q54" i="7" s="1"/>
  <c r="N54" i="7"/>
  <c r="O54" i="7" s="1"/>
  <c r="L54" i="7"/>
  <c r="AM54" i="7" s="1"/>
  <c r="P53" i="7"/>
  <c r="Q53" i="7" s="1"/>
  <c r="N53" i="7"/>
  <c r="O53" i="7" s="1"/>
  <c r="L53" i="7"/>
  <c r="P52" i="7"/>
  <c r="Q52" i="7" s="1"/>
  <c r="N52" i="7"/>
  <c r="O52" i="7" s="1"/>
  <c r="L52" i="7"/>
  <c r="P51" i="7"/>
  <c r="Q51" i="7" s="1"/>
  <c r="N51" i="7"/>
  <c r="O51" i="7" s="1"/>
  <c r="L51" i="7"/>
  <c r="P50" i="7"/>
  <c r="Q50" i="7" s="1"/>
  <c r="N50" i="7"/>
  <c r="O50" i="7" s="1"/>
  <c r="M50" i="7"/>
  <c r="L50" i="7"/>
  <c r="P49" i="7"/>
  <c r="Q49" i="7" s="1"/>
  <c r="N49" i="7"/>
  <c r="O49" i="7" s="1"/>
  <c r="L49" i="7"/>
  <c r="P48" i="7"/>
  <c r="Q48" i="7" s="1"/>
  <c r="N48" i="7"/>
  <c r="O48" i="7" s="1"/>
  <c r="L48" i="7"/>
  <c r="P47" i="7"/>
  <c r="Q47" i="7" s="1"/>
  <c r="N47" i="7"/>
  <c r="O47" i="7" s="1"/>
  <c r="L47" i="7"/>
  <c r="P46" i="7"/>
  <c r="Q46" i="7" s="1"/>
  <c r="N46" i="7"/>
  <c r="O46" i="7" s="1"/>
  <c r="L46" i="7"/>
  <c r="P45" i="7"/>
  <c r="Q45" i="7" s="1"/>
  <c r="N45" i="7"/>
  <c r="O45" i="7" s="1"/>
  <c r="L45" i="7"/>
  <c r="P44" i="7"/>
  <c r="Q44" i="7" s="1"/>
  <c r="N44" i="7"/>
  <c r="O44" i="7" s="1"/>
  <c r="L44" i="7"/>
  <c r="P43" i="7"/>
  <c r="Q43" i="7" s="1"/>
  <c r="N43" i="7"/>
  <c r="O43" i="7" s="1"/>
  <c r="L43" i="7"/>
  <c r="P42" i="7"/>
  <c r="Q42" i="7" s="1"/>
  <c r="N42" i="7"/>
  <c r="O42" i="7" s="1"/>
  <c r="L42" i="7"/>
  <c r="P41" i="7"/>
  <c r="Q41" i="7" s="1"/>
  <c r="N41" i="7"/>
  <c r="O41" i="7" s="1"/>
  <c r="L41" i="7"/>
  <c r="P40" i="7"/>
  <c r="Q40" i="7" s="1"/>
  <c r="N40" i="7"/>
  <c r="O40" i="7" s="1"/>
  <c r="L40" i="7"/>
  <c r="P39" i="7"/>
  <c r="Q39" i="7" s="1"/>
  <c r="N39" i="7"/>
  <c r="O39" i="7" s="1"/>
  <c r="L39" i="7"/>
  <c r="M39" i="7" s="1"/>
  <c r="T39" i="7" s="1"/>
  <c r="P38" i="7"/>
  <c r="Q38" i="7" s="1"/>
  <c r="N38" i="7"/>
  <c r="O38" i="7" s="1"/>
  <c r="L38" i="7"/>
  <c r="M38" i="7" s="1"/>
  <c r="P37" i="7"/>
  <c r="Q37" i="7" s="1"/>
  <c r="N37" i="7"/>
  <c r="O37" i="7" s="1"/>
  <c r="L37" i="7"/>
  <c r="P36" i="7"/>
  <c r="Q36" i="7" s="1"/>
  <c r="N36" i="7"/>
  <c r="O36" i="7" s="1"/>
  <c r="L36" i="7"/>
  <c r="P35" i="7"/>
  <c r="Q35" i="7" s="1"/>
  <c r="N35" i="7"/>
  <c r="O35" i="7" s="1"/>
  <c r="L35" i="7"/>
  <c r="M35" i="7" s="1"/>
  <c r="P34" i="7"/>
  <c r="Q34" i="7" s="1"/>
  <c r="N34" i="7"/>
  <c r="O34" i="7" s="1"/>
  <c r="L34" i="7"/>
  <c r="P33" i="7"/>
  <c r="Q33" i="7" s="1"/>
  <c r="S33" i="7" s="1"/>
  <c r="Y33" i="7" s="1"/>
  <c r="N33" i="7"/>
  <c r="O33" i="7" s="1"/>
  <c r="L33" i="7"/>
  <c r="M33" i="7" s="1"/>
  <c r="P32" i="7"/>
  <c r="Q32" i="7" s="1"/>
  <c r="N32" i="7"/>
  <c r="O32" i="7" s="1"/>
  <c r="M32" i="7"/>
  <c r="L32" i="7"/>
  <c r="P31" i="7"/>
  <c r="Q31" i="7" s="1"/>
  <c r="R31" i="7" s="1"/>
  <c r="X31" i="7" s="1"/>
  <c r="O31" i="7"/>
  <c r="N31" i="7"/>
  <c r="M31" i="7"/>
  <c r="L31" i="7"/>
  <c r="P30" i="7"/>
  <c r="Q30" i="7" s="1"/>
  <c r="O30" i="7"/>
  <c r="N30" i="7"/>
  <c r="L30" i="7"/>
  <c r="P29" i="7"/>
  <c r="Q29" i="7" s="1"/>
  <c r="R29" i="7" s="1"/>
  <c r="X29" i="7" s="1"/>
  <c r="N29" i="7"/>
  <c r="O29" i="7" s="1"/>
  <c r="L29" i="7"/>
  <c r="M29" i="7" s="1"/>
  <c r="P28" i="7"/>
  <c r="Q28" i="7" s="1"/>
  <c r="S28" i="7" s="1"/>
  <c r="Y28" i="7" s="1"/>
  <c r="N28" i="7"/>
  <c r="O28" i="7" s="1"/>
  <c r="L28" i="7"/>
  <c r="P27" i="7"/>
  <c r="Q27" i="7" s="1"/>
  <c r="N27" i="7"/>
  <c r="O27" i="7" s="1"/>
  <c r="L27" i="7"/>
  <c r="D27" i="7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P26" i="7"/>
  <c r="Q26" i="7" s="1"/>
  <c r="S26" i="7" s="1"/>
  <c r="Y26" i="7" s="1"/>
  <c r="N26" i="7"/>
  <c r="O26" i="7" s="1"/>
  <c r="L26" i="7"/>
  <c r="V25" i="7"/>
  <c r="R83" i="8" l="1"/>
  <c r="S83" i="8"/>
  <c r="AF83" i="8" s="1"/>
  <c r="R109" i="8"/>
  <c r="AE109" i="8" s="1"/>
  <c r="S109" i="8"/>
  <c r="AF109" i="8" s="1"/>
  <c r="R113" i="8"/>
  <c r="S113" i="8"/>
  <c r="S81" i="8"/>
  <c r="AF81" i="8" s="1"/>
  <c r="R81" i="8"/>
  <c r="R98" i="8"/>
  <c r="AE98" i="8" s="1"/>
  <c r="S98" i="8"/>
  <c r="AF98" i="8" s="1"/>
  <c r="R71" i="8"/>
  <c r="AE71" i="8" s="1"/>
  <c r="S71" i="8"/>
  <c r="AF71" i="8" s="1"/>
  <c r="S79" i="8"/>
  <c r="AF79" i="8" s="1"/>
  <c r="R79" i="8"/>
  <c r="AE79" i="8" s="1"/>
  <c r="S102" i="8"/>
  <c r="AF102" i="8" s="1"/>
  <c r="R102" i="8"/>
  <c r="AE102" i="8" s="1"/>
  <c r="R124" i="8"/>
  <c r="S124" i="8"/>
  <c r="AF124" i="8" s="1"/>
  <c r="S88" i="8"/>
  <c r="AF88" i="8" s="1"/>
  <c r="R88" i="8"/>
  <c r="AE88" i="8" s="1"/>
  <c r="R112" i="8"/>
  <c r="S112" i="8"/>
  <c r="R118" i="8"/>
  <c r="S118" i="8"/>
  <c r="T45" i="8"/>
  <c r="U45" i="8" s="1"/>
  <c r="AD45" i="8" s="1"/>
  <c r="AO45" i="8" s="1"/>
  <c r="R84" i="8"/>
  <c r="AE84" i="8" s="1"/>
  <c r="S84" i="8"/>
  <c r="AF84" i="8" s="1"/>
  <c r="R95" i="8"/>
  <c r="AE95" i="8" s="1"/>
  <c r="S95" i="8"/>
  <c r="AF95" i="8" s="1"/>
  <c r="R80" i="8"/>
  <c r="S80" i="8"/>
  <c r="AF80" i="8" s="1"/>
  <c r="S82" i="8"/>
  <c r="R82" i="8"/>
  <c r="AE82" i="8" s="1"/>
  <c r="S87" i="8"/>
  <c r="AF87" i="8" s="1"/>
  <c r="R87" i="8"/>
  <c r="T100" i="8"/>
  <c r="U100" i="8" s="1"/>
  <c r="R115" i="8"/>
  <c r="S115" i="8"/>
  <c r="S96" i="8"/>
  <c r="R96" i="8"/>
  <c r="R67" i="8"/>
  <c r="AE67" i="8" s="1"/>
  <c r="S67" i="8"/>
  <c r="S73" i="8"/>
  <c r="AF73" i="8" s="1"/>
  <c r="R73" i="8"/>
  <c r="S77" i="8"/>
  <c r="AF77" i="8" s="1"/>
  <c r="R77" i="8"/>
  <c r="S104" i="8"/>
  <c r="R104" i="8"/>
  <c r="AE104" i="8" s="1"/>
  <c r="S120" i="8"/>
  <c r="R120" i="8"/>
  <c r="AE120" i="8" s="1"/>
  <c r="T82" i="8"/>
  <c r="U82" i="8" s="1"/>
  <c r="T62" i="8"/>
  <c r="U62" i="8" s="1"/>
  <c r="T72" i="8"/>
  <c r="U72" i="8" s="1"/>
  <c r="Z72" i="8" s="1"/>
  <c r="AA72" i="8" s="1"/>
  <c r="AB72" i="8" s="1"/>
  <c r="AP72" i="8" s="1"/>
  <c r="T49" i="8"/>
  <c r="U49" i="8" s="1"/>
  <c r="R64" i="8"/>
  <c r="AE64" i="8" s="1"/>
  <c r="S64" i="8"/>
  <c r="AF64" i="8" s="1"/>
  <c r="R68" i="8"/>
  <c r="AE68" i="8" s="1"/>
  <c r="S68" i="8"/>
  <c r="AF68" i="8" s="1"/>
  <c r="R70" i="8"/>
  <c r="S70" i="8"/>
  <c r="R72" i="8"/>
  <c r="AE72" i="8" s="1"/>
  <c r="S72" i="8"/>
  <c r="S74" i="8"/>
  <c r="AF74" i="8" s="1"/>
  <c r="R74" i="8"/>
  <c r="AE74" i="8" s="1"/>
  <c r="S76" i="8"/>
  <c r="AF76" i="8" s="1"/>
  <c r="R76" i="8"/>
  <c r="R78" i="8"/>
  <c r="AE78" i="8" s="1"/>
  <c r="S78" i="8"/>
  <c r="R91" i="8"/>
  <c r="AE91" i="8" s="1"/>
  <c r="S91" i="8"/>
  <c r="AF91" i="8" s="1"/>
  <c r="R97" i="8"/>
  <c r="S97" i="8"/>
  <c r="AF97" i="8" s="1"/>
  <c r="R99" i="8"/>
  <c r="S99" i="8"/>
  <c r="R125" i="8"/>
  <c r="AE125" i="8" s="1"/>
  <c r="S125" i="8"/>
  <c r="AF125" i="8" s="1"/>
  <c r="S85" i="8"/>
  <c r="AF85" i="8" s="1"/>
  <c r="R85" i="8"/>
  <c r="AE85" i="8" s="1"/>
  <c r="R111" i="8"/>
  <c r="AE111" i="8" s="1"/>
  <c r="S111" i="8"/>
  <c r="R117" i="8"/>
  <c r="S117" i="8"/>
  <c r="AF117" i="8" s="1"/>
  <c r="R92" i="8"/>
  <c r="AE92" i="8" s="1"/>
  <c r="S92" i="8"/>
  <c r="AF92" i="8" s="1"/>
  <c r="T108" i="8"/>
  <c r="U108" i="8" s="1"/>
  <c r="T41" i="8"/>
  <c r="U41" i="8" s="1"/>
  <c r="AC41" i="8" s="1"/>
  <c r="R69" i="8"/>
  <c r="S69" i="8"/>
  <c r="AF69" i="8" s="1"/>
  <c r="R75" i="8"/>
  <c r="S75" i="8"/>
  <c r="R90" i="8"/>
  <c r="AE90" i="8" s="1"/>
  <c r="S90" i="8"/>
  <c r="R106" i="8"/>
  <c r="S106" i="8"/>
  <c r="R122" i="8"/>
  <c r="S122" i="8"/>
  <c r="S65" i="8"/>
  <c r="AF65" i="8" s="1"/>
  <c r="R65" i="8"/>
  <c r="R100" i="8"/>
  <c r="S100" i="8"/>
  <c r="AF100" i="8" s="1"/>
  <c r="R110" i="8"/>
  <c r="S110" i="8"/>
  <c r="R114" i="8"/>
  <c r="AE114" i="8" s="1"/>
  <c r="S114" i="8"/>
  <c r="AF114" i="8" s="1"/>
  <c r="S86" i="8"/>
  <c r="AF86" i="8" s="1"/>
  <c r="R86" i="8"/>
  <c r="R93" i="8"/>
  <c r="S93" i="8"/>
  <c r="AF93" i="8" s="1"/>
  <c r="T103" i="8"/>
  <c r="U103" i="8" s="1"/>
  <c r="R108" i="8"/>
  <c r="S108" i="8"/>
  <c r="AF108" i="8" s="1"/>
  <c r="R116" i="8"/>
  <c r="S116" i="8"/>
  <c r="AF116" i="8" s="1"/>
  <c r="S66" i="8"/>
  <c r="AF66" i="8" s="1"/>
  <c r="R66" i="8"/>
  <c r="AE66" i="8" s="1"/>
  <c r="R89" i="8"/>
  <c r="AE89" i="8" s="1"/>
  <c r="S89" i="8"/>
  <c r="R94" i="8"/>
  <c r="S94" i="8"/>
  <c r="AF94" i="8" s="1"/>
  <c r="R101" i="8"/>
  <c r="S101" i="8"/>
  <c r="AF101" i="8" s="1"/>
  <c r="R103" i="8"/>
  <c r="S103" i="8"/>
  <c r="R105" i="8"/>
  <c r="S105" i="8"/>
  <c r="R107" i="8"/>
  <c r="S107" i="8"/>
  <c r="S119" i="8"/>
  <c r="AF119" i="8" s="1"/>
  <c r="R119" i="8"/>
  <c r="AE119" i="8" s="1"/>
  <c r="R121" i="8"/>
  <c r="S121" i="8"/>
  <c r="AF121" i="8" s="1"/>
  <c r="R123" i="8"/>
  <c r="S123" i="8"/>
  <c r="R55" i="8"/>
  <c r="R47" i="8"/>
  <c r="R39" i="8"/>
  <c r="S42" i="8"/>
  <c r="AF42" i="8" s="1"/>
  <c r="S50" i="8"/>
  <c r="S63" i="7"/>
  <c r="Y63" i="7" s="1"/>
  <c r="S73" i="7"/>
  <c r="Y73" i="7" s="1"/>
  <c r="R82" i="7"/>
  <c r="X82" i="7" s="1"/>
  <c r="AE82" i="7" s="1"/>
  <c r="S113" i="7"/>
  <c r="Y113" i="7" s="1"/>
  <c r="AF113" i="7" s="1"/>
  <c r="AM58" i="7"/>
  <c r="AE31" i="7"/>
  <c r="S69" i="7"/>
  <c r="Y69" i="7" s="1"/>
  <c r="S80" i="7"/>
  <c r="Y80" i="7" s="1"/>
  <c r="S74" i="7"/>
  <c r="Y74" i="7" s="1"/>
  <c r="AF74" i="7" s="1"/>
  <c r="R97" i="7"/>
  <c r="X97" i="7" s="1"/>
  <c r="AE97" i="7" s="1"/>
  <c r="S125" i="7"/>
  <c r="Y125" i="7" s="1"/>
  <c r="AF125" i="7" s="1"/>
  <c r="AF28" i="7"/>
  <c r="S121" i="7"/>
  <c r="Y121" i="7" s="1"/>
  <c r="AF121" i="7" s="1"/>
  <c r="S57" i="8"/>
  <c r="S49" i="8"/>
  <c r="S41" i="8"/>
  <c r="R62" i="8"/>
  <c r="R54" i="8"/>
  <c r="AI54" i="8" s="1"/>
  <c r="R46" i="8"/>
  <c r="R38" i="8"/>
  <c r="S56" i="8"/>
  <c r="S48" i="8"/>
  <c r="S40" i="8"/>
  <c r="R61" i="8"/>
  <c r="R53" i="8"/>
  <c r="AE53" i="8" s="1"/>
  <c r="R45" i="8"/>
  <c r="R37" i="8"/>
  <c r="AF110" i="8"/>
  <c r="S63" i="8"/>
  <c r="R60" i="8"/>
  <c r="R52" i="8"/>
  <c r="R44" i="8"/>
  <c r="R36" i="8"/>
  <c r="S58" i="8"/>
  <c r="AF47" i="8"/>
  <c r="R59" i="8"/>
  <c r="R51" i="8"/>
  <c r="AE51" i="8" s="1"/>
  <c r="R43" i="8"/>
  <c r="AE43" i="8" s="1"/>
  <c r="S60" i="8"/>
  <c r="S52" i="8"/>
  <c r="R41" i="8"/>
  <c r="AF44" i="8"/>
  <c r="S35" i="8"/>
  <c r="AE80" i="8"/>
  <c r="AE94" i="8"/>
  <c r="AE31" i="8"/>
  <c r="R29" i="8"/>
  <c r="R28" i="8"/>
  <c r="R27" i="8"/>
  <c r="AE33" i="8"/>
  <c r="S42" i="7"/>
  <c r="Y42" i="7" s="1"/>
  <c r="AF42" i="7" s="1"/>
  <c r="S89" i="7"/>
  <c r="Y89" i="7" s="1"/>
  <c r="AF89" i="7" s="1"/>
  <c r="AM118" i="7"/>
  <c r="S75" i="7"/>
  <c r="Y75" i="7" s="1"/>
  <c r="AF75" i="7" s="1"/>
  <c r="R75" i="7"/>
  <c r="X75" i="7" s="1"/>
  <c r="S90" i="7"/>
  <c r="Y90" i="7" s="1"/>
  <c r="AF90" i="7" s="1"/>
  <c r="S117" i="7"/>
  <c r="Y117" i="7" s="1"/>
  <c r="AF117" i="7" s="1"/>
  <c r="R79" i="7"/>
  <c r="X79" i="7" s="1"/>
  <c r="AE79" i="7" s="1"/>
  <c r="R88" i="7"/>
  <c r="X88" i="7" s="1"/>
  <c r="AE88" i="7" s="1"/>
  <c r="AE93" i="7"/>
  <c r="S105" i="7"/>
  <c r="Y105" i="7" s="1"/>
  <c r="AF105" i="7" s="1"/>
  <c r="R89" i="7"/>
  <c r="X89" i="7" s="1"/>
  <c r="AE89" i="7" s="1"/>
  <c r="S99" i="7"/>
  <c r="Y99" i="7" s="1"/>
  <c r="AF99" i="7" s="1"/>
  <c r="R42" i="7"/>
  <c r="X42" i="7" s="1"/>
  <c r="AE42" i="7" s="1"/>
  <c r="S97" i="7"/>
  <c r="Y97" i="7" s="1"/>
  <c r="AF97" i="7" s="1"/>
  <c r="S109" i="7"/>
  <c r="Y109" i="7" s="1"/>
  <c r="AF109" i="7" s="1"/>
  <c r="S90" i="9"/>
  <c r="Y90" i="9" s="1"/>
  <c r="R90" i="9"/>
  <c r="X90" i="9" s="1"/>
  <c r="S109" i="9"/>
  <c r="Y109" i="9" s="1"/>
  <c r="R109" i="9"/>
  <c r="X109" i="9" s="1"/>
  <c r="S29" i="9"/>
  <c r="Y29" i="9" s="1"/>
  <c r="AF29" i="9" s="1"/>
  <c r="R29" i="9"/>
  <c r="X29" i="9" s="1"/>
  <c r="AE29" i="9" s="1"/>
  <c r="S34" i="9"/>
  <c r="Y34" i="9" s="1"/>
  <c r="AF34" i="9" s="1"/>
  <c r="R34" i="9"/>
  <c r="X34" i="9" s="1"/>
  <c r="AE34" i="9" s="1"/>
  <c r="R36" i="9"/>
  <c r="X36" i="9" s="1"/>
  <c r="AE36" i="9" s="1"/>
  <c r="S36" i="9"/>
  <c r="Y36" i="9" s="1"/>
  <c r="S97" i="9"/>
  <c r="Y97" i="9" s="1"/>
  <c r="AF97" i="9" s="1"/>
  <c r="R97" i="9"/>
  <c r="X97" i="9" s="1"/>
  <c r="AG97" i="9" s="1"/>
  <c r="S83" i="9"/>
  <c r="Y83" i="9" s="1"/>
  <c r="R83" i="9"/>
  <c r="X83" i="9" s="1"/>
  <c r="AE83" i="9" s="1"/>
  <c r="R112" i="9"/>
  <c r="X112" i="9" s="1"/>
  <c r="AE112" i="9" s="1"/>
  <c r="S112" i="9"/>
  <c r="Y112" i="9" s="1"/>
  <c r="R67" i="9"/>
  <c r="X67" i="9" s="1"/>
  <c r="R32" i="9"/>
  <c r="X32" i="9" s="1"/>
  <c r="AE32" i="9" s="1"/>
  <c r="R41" i="9"/>
  <c r="X41" i="9" s="1"/>
  <c r="S103" i="9"/>
  <c r="Y103" i="9" s="1"/>
  <c r="S87" i="9"/>
  <c r="Y87" i="9" s="1"/>
  <c r="AF87" i="9" s="1"/>
  <c r="R45" i="9"/>
  <c r="X45" i="9" s="1"/>
  <c r="AE45" i="9" s="1"/>
  <c r="W98" i="9"/>
  <c r="AJ98" i="9" s="1"/>
  <c r="S105" i="9"/>
  <c r="Y105" i="9" s="1"/>
  <c r="AF105" i="9" s="1"/>
  <c r="S37" i="9"/>
  <c r="Y37" i="9" s="1"/>
  <c r="AF37" i="9" s="1"/>
  <c r="R46" i="9"/>
  <c r="X46" i="9" s="1"/>
  <c r="R51" i="9"/>
  <c r="X51" i="9" s="1"/>
  <c r="AE51" i="9" s="1"/>
  <c r="R27" i="9"/>
  <c r="X27" i="9" s="1"/>
  <c r="AE27" i="9" s="1"/>
  <c r="W28" i="9"/>
  <c r="U34" i="9"/>
  <c r="AA34" i="9" s="1"/>
  <c r="AB34" i="9" s="1"/>
  <c r="AP34" i="9" s="1"/>
  <c r="AA40" i="9"/>
  <c r="AB40" i="9" s="1"/>
  <c r="AP40" i="9" s="1"/>
  <c r="R48" i="9"/>
  <c r="X48" i="9" s="1"/>
  <c r="AA50" i="9"/>
  <c r="AB50" i="9" s="1"/>
  <c r="AP50" i="9" s="1"/>
  <c r="S68" i="9"/>
  <c r="Y68" i="9" s="1"/>
  <c r="AA88" i="9"/>
  <c r="AB88" i="9" s="1"/>
  <c r="AP88" i="9" s="1"/>
  <c r="S104" i="9"/>
  <c r="Y104" i="9" s="1"/>
  <c r="S98" i="9"/>
  <c r="Y98" i="9" s="1"/>
  <c r="AF98" i="9" s="1"/>
  <c r="S31" i="9"/>
  <c r="Y31" i="9" s="1"/>
  <c r="AF31" i="9" s="1"/>
  <c r="R43" i="9"/>
  <c r="X43" i="9" s="1"/>
  <c r="AE43" i="9" s="1"/>
  <c r="R53" i="9"/>
  <c r="X53" i="9" s="1"/>
  <c r="S118" i="9"/>
  <c r="Y118" i="9" s="1"/>
  <c r="AF118" i="9" s="1"/>
  <c r="S120" i="9"/>
  <c r="Y120" i="9" s="1"/>
  <c r="AF120" i="9" s="1"/>
  <c r="AA30" i="9"/>
  <c r="AB30" i="9" s="1"/>
  <c r="AP30" i="9" s="1"/>
  <c r="AA36" i="9"/>
  <c r="AB36" i="9" s="1"/>
  <c r="AP36" i="9" s="1"/>
  <c r="R42" i="9"/>
  <c r="X42" i="9" s="1"/>
  <c r="AE42" i="9" s="1"/>
  <c r="AA44" i="9"/>
  <c r="AB44" i="9" s="1"/>
  <c r="AP44" i="9" s="1"/>
  <c r="R47" i="9"/>
  <c r="X47" i="9" s="1"/>
  <c r="AE47" i="9" s="1"/>
  <c r="R52" i="9"/>
  <c r="X52" i="9" s="1"/>
  <c r="S60" i="9"/>
  <c r="Y60" i="9" s="1"/>
  <c r="AF60" i="9" s="1"/>
  <c r="R89" i="9"/>
  <c r="X89" i="9" s="1"/>
  <c r="AE89" i="9" s="1"/>
  <c r="S92" i="9"/>
  <c r="Y92" i="9" s="1"/>
  <c r="S95" i="9"/>
  <c r="Y95" i="9" s="1"/>
  <c r="AF95" i="9" s="1"/>
  <c r="R107" i="9"/>
  <c r="X107" i="9" s="1"/>
  <c r="R111" i="9"/>
  <c r="X111" i="9" s="1"/>
  <c r="AE111" i="9" s="1"/>
  <c r="S115" i="9"/>
  <c r="Y115" i="9" s="1"/>
  <c r="AF115" i="9" s="1"/>
  <c r="S124" i="9"/>
  <c r="Y124" i="9" s="1"/>
  <c r="AF124" i="9" s="1"/>
  <c r="AF36" i="9"/>
  <c r="AF28" i="9"/>
  <c r="AJ28" i="9"/>
  <c r="AF56" i="9"/>
  <c r="AJ56" i="9"/>
  <c r="AK56" i="9"/>
  <c r="AF63" i="9"/>
  <c r="S57" i="9"/>
  <c r="Y57" i="9" s="1"/>
  <c r="R57" i="9"/>
  <c r="X57" i="9" s="1"/>
  <c r="U37" i="9"/>
  <c r="W37" i="9" s="1"/>
  <c r="S33" i="9"/>
  <c r="Y33" i="9" s="1"/>
  <c r="R33" i="9"/>
  <c r="X33" i="9" s="1"/>
  <c r="AE33" i="9" s="1"/>
  <c r="M70" i="9"/>
  <c r="M74" i="9"/>
  <c r="T77" i="9"/>
  <c r="R28" i="9"/>
  <c r="X28" i="9" s="1"/>
  <c r="W30" i="9"/>
  <c r="M31" i="9"/>
  <c r="AE31" i="9"/>
  <c r="U32" i="9"/>
  <c r="W32" i="9" s="1"/>
  <c r="AJ32" i="9" s="1"/>
  <c r="R56" i="9"/>
  <c r="X56" i="9" s="1"/>
  <c r="AG56" i="9" s="1"/>
  <c r="AF92" i="9"/>
  <c r="S30" i="9"/>
  <c r="Y30" i="9" s="1"/>
  <c r="R30" i="9"/>
  <c r="X30" i="9" s="1"/>
  <c r="AA27" i="9"/>
  <c r="AB27" i="9" s="1"/>
  <c r="AP27" i="9" s="1"/>
  <c r="AE26" i="9"/>
  <c r="S35" i="9"/>
  <c r="Y35" i="9" s="1"/>
  <c r="R35" i="9"/>
  <c r="X35" i="9" s="1"/>
  <c r="AE35" i="9" s="1"/>
  <c r="U38" i="9"/>
  <c r="W38" i="9" s="1"/>
  <c r="S42" i="9"/>
  <c r="Y42" i="9" s="1"/>
  <c r="AE44" i="9"/>
  <c r="AI44" i="9"/>
  <c r="AG44" i="9"/>
  <c r="M47" i="9"/>
  <c r="S50" i="9"/>
  <c r="Y50" i="9" s="1"/>
  <c r="AE52" i="9"/>
  <c r="AI52" i="9"/>
  <c r="AG52" i="9"/>
  <c r="AE53" i="9"/>
  <c r="M60" i="9"/>
  <c r="T62" i="9"/>
  <c r="M68" i="9"/>
  <c r="AE71" i="9"/>
  <c r="M80" i="9"/>
  <c r="AE50" i="9"/>
  <c r="AI50" i="9"/>
  <c r="AG50" i="9"/>
  <c r="W27" i="9"/>
  <c r="S26" i="9"/>
  <c r="Y26" i="9" s="1"/>
  <c r="U35" i="9"/>
  <c r="AA35" i="9" s="1"/>
  <c r="AB35" i="9" s="1"/>
  <c r="AP35" i="9" s="1"/>
  <c r="AF62" i="9"/>
  <c r="AE70" i="9"/>
  <c r="S71" i="9"/>
  <c r="Y71" i="9" s="1"/>
  <c r="AF82" i="9"/>
  <c r="U66" i="9"/>
  <c r="AA66" i="9" s="1"/>
  <c r="AB66" i="9" s="1"/>
  <c r="AP66" i="9" s="1"/>
  <c r="U26" i="9"/>
  <c r="Z26" i="9" s="1"/>
  <c r="AA26" i="9" s="1"/>
  <c r="AB26" i="9" s="1"/>
  <c r="AP26" i="9" s="1"/>
  <c r="S39" i="9"/>
  <c r="Y39" i="9" s="1"/>
  <c r="R39" i="9"/>
  <c r="X39" i="9" s="1"/>
  <c r="AE39" i="9" s="1"/>
  <c r="M41" i="9"/>
  <c r="S44" i="9"/>
  <c r="Y44" i="9" s="1"/>
  <c r="AE46" i="9"/>
  <c r="AI46" i="9"/>
  <c r="AG46" i="9"/>
  <c r="M49" i="9"/>
  <c r="S52" i="9"/>
  <c r="Y52" i="9" s="1"/>
  <c r="AI54" i="9"/>
  <c r="AG54" i="9"/>
  <c r="AE54" i="9"/>
  <c r="AE59" i="9"/>
  <c r="S65" i="9"/>
  <c r="Y65" i="9" s="1"/>
  <c r="R65" i="9"/>
  <c r="X65" i="9" s="1"/>
  <c r="AE67" i="9"/>
  <c r="AF68" i="9"/>
  <c r="R91" i="9"/>
  <c r="X91" i="9" s="1"/>
  <c r="AE91" i="9" s="1"/>
  <c r="S91" i="9"/>
  <c r="Y91" i="9" s="1"/>
  <c r="AF91" i="9" s="1"/>
  <c r="T94" i="9"/>
  <c r="AK48" i="9"/>
  <c r="AJ48" i="9"/>
  <c r="AF48" i="9"/>
  <c r="M53" i="9"/>
  <c r="AA28" i="9"/>
  <c r="AB28" i="9" s="1"/>
  <c r="AP28" i="9" s="1"/>
  <c r="M33" i="9"/>
  <c r="S38" i="9"/>
  <c r="Y38" i="9" s="1"/>
  <c r="R38" i="9"/>
  <c r="X38" i="9" s="1"/>
  <c r="R63" i="9"/>
  <c r="X63" i="9" s="1"/>
  <c r="R64" i="9"/>
  <c r="X64" i="9" s="1"/>
  <c r="AE64" i="9" s="1"/>
  <c r="S64" i="9"/>
  <c r="Y64" i="9" s="1"/>
  <c r="M72" i="9"/>
  <c r="AE97" i="9"/>
  <c r="AK40" i="9"/>
  <c r="AJ40" i="9"/>
  <c r="AF40" i="9"/>
  <c r="M45" i="9"/>
  <c r="AI32" i="9"/>
  <c r="AG32" i="9"/>
  <c r="AE40" i="9"/>
  <c r="AI40" i="9"/>
  <c r="AG40" i="9"/>
  <c r="AE41" i="9"/>
  <c r="M43" i="9"/>
  <c r="AK46" i="9"/>
  <c r="AJ46" i="9"/>
  <c r="AF46" i="9"/>
  <c r="AE48" i="9"/>
  <c r="AI48" i="9"/>
  <c r="AG48" i="9"/>
  <c r="AE49" i="9"/>
  <c r="M51" i="9"/>
  <c r="S54" i="9"/>
  <c r="Y54" i="9" s="1"/>
  <c r="S55" i="9"/>
  <c r="Y55" i="9" s="1"/>
  <c r="R55" i="9"/>
  <c r="X55" i="9" s="1"/>
  <c r="S58" i="9"/>
  <c r="Y58" i="9" s="1"/>
  <c r="R58" i="9"/>
  <c r="X58" i="9" s="1"/>
  <c r="S59" i="9"/>
  <c r="Y59" i="9" s="1"/>
  <c r="S61" i="9"/>
  <c r="Y61" i="9" s="1"/>
  <c r="R61" i="9"/>
  <c r="X61" i="9" s="1"/>
  <c r="AF67" i="9"/>
  <c r="AF69" i="9"/>
  <c r="AF70" i="9"/>
  <c r="R73" i="9"/>
  <c r="X73" i="9" s="1"/>
  <c r="S73" i="9"/>
  <c r="Y73" i="9" s="1"/>
  <c r="R76" i="9"/>
  <c r="X76" i="9" s="1"/>
  <c r="S76" i="9"/>
  <c r="Y76" i="9" s="1"/>
  <c r="T83" i="9"/>
  <c r="AE85" i="9"/>
  <c r="U87" i="9"/>
  <c r="AA87" i="9" s="1"/>
  <c r="AB87" i="9" s="1"/>
  <c r="AP87" i="9" s="1"/>
  <c r="AA97" i="9"/>
  <c r="AB97" i="9" s="1"/>
  <c r="AP97" i="9" s="1"/>
  <c r="W97" i="9"/>
  <c r="AJ97" i="9" s="1"/>
  <c r="AE109" i="9"/>
  <c r="W36" i="9"/>
  <c r="AK36" i="9" s="1"/>
  <c r="U79" i="9"/>
  <c r="W79" i="9" s="1"/>
  <c r="S86" i="9"/>
  <c r="Y86" i="9" s="1"/>
  <c r="R86" i="9"/>
  <c r="X86" i="9" s="1"/>
  <c r="AF90" i="9"/>
  <c r="S121" i="9"/>
  <c r="Y121" i="9" s="1"/>
  <c r="R121" i="9"/>
  <c r="X121" i="9" s="1"/>
  <c r="R62" i="9"/>
  <c r="X62" i="9" s="1"/>
  <c r="AE62" i="9" s="1"/>
  <c r="T64" i="9"/>
  <c r="M78" i="9"/>
  <c r="M81" i="9"/>
  <c r="W86" i="9"/>
  <c r="AA86" i="9"/>
  <c r="AB86" i="9" s="1"/>
  <c r="AP86" i="9" s="1"/>
  <c r="AE90" i="9"/>
  <c r="S113" i="9"/>
  <c r="Y113" i="9" s="1"/>
  <c r="R113" i="9"/>
  <c r="X113" i="9" s="1"/>
  <c r="AG57" i="9"/>
  <c r="AF80" i="9"/>
  <c r="U89" i="9"/>
  <c r="W89" i="9" s="1"/>
  <c r="AJ89" i="9" s="1"/>
  <c r="S123" i="9"/>
  <c r="Y123" i="9" s="1"/>
  <c r="R123" i="9"/>
  <c r="X123" i="9" s="1"/>
  <c r="R60" i="9"/>
  <c r="X60" i="9" s="1"/>
  <c r="AE60" i="9" s="1"/>
  <c r="R68" i="9"/>
  <c r="X68" i="9" s="1"/>
  <c r="AE68" i="9" s="1"/>
  <c r="S72" i="9"/>
  <c r="Y72" i="9" s="1"/>
  <c r="AF72" i="9" s="1"/>
  <c r="S74" i="9"/>
  <c r="Y74" i="9" s="1"/>
  <c r="AF74" i="9" s="1"/>
  <c r="R74" i="9"/>
  <c r="X74" i="9" s="1"/>
  <c r="AE74" i="9" s="1"/>
  <c r="M75" i="9"/>
  <c r="R80" i="9"/>
  <c r="X80" i="9" s="1"/>
  <c r="T85" i="9"/>
  <c r="T114" i="9"/>
  <c r="R37" i="9"/>
  <c r="X37" i="9" s="1"/>
  <c r="AE37" i="9" s="1"/>
  <c r="AG58" i="9"/>
  <c r="S78" i="9"/>
  <c r="Y78" i="9" s="1"/>
  <c r="AF78" i="9" s="1"/>
  <c r="R78" i="9"/>
  <c r="X78" i="9" s="1"/>
  <c r="AE78" i="9" s="1"/>
  <c r="S88" i="9"/>
  <c r="Y88" i="9" s="1"/>
  <c r="AK88" i="9" s="1"/>
  <c r="R88" i="9"/>
  <c r="X88" i="9" s="1"/>
  <c r="T91" i="9"/>
  <c r="AF112" i="9"/>
  <c r="AE115" i="9"/>
  <c r="S119" i="9"/>
  <c r="Y119" i="9" s="1"/>
  <c r="R119" i="9"/>
  <c r="X119" i="9" s="1"/>
  <c r="M29" i="9"/>
  <c r="M39" i="9"/>
  <c r="AD40" i="9"/>
  <c r="AO40" i="9" s="1"/>
  <c r="AC40" i="9"/>
  <c r="S41" i="9"/>
  <c r="Y41" i="9" s="1"/>
  <c r="AF41" i="9" s="1"/>
  <c r="AD42" i="9"/>
  <c r="AO42" i="9" s="1"/>
  <c r="AC42" i="9"/>
  <c r="S43" i="9"/>
  <c r="Y43" i="9" s="1"/>
  <c r="AF43" i="9" s="1"/>
  <c r="AD44" i="9"/>
  <c r="AO44" i="9" s="1"/>
  <c r="AC44" i="9"/>
  <c r="S45" i="9"/>
  <c r="Y45" i="9" s="1"/>
  <c r="AF45" i="9" s="1"/>
  <c r="AD46" i="9"/>
  <c r="AO46" i="9" s="1"/>
  <c r="AC46" i="9"/>
  <c r="S47" i="9"/>
  <c r="Y47" i="9" s="1"/>
  <c r="AF47" i="9" s="1"/>
  <c r="AD48" i="9"/>
  <c r="AO48" i="9" s="1"/>
  <c r="AC48" i="9"/>
  <c r="S49" i="9"/>
  <c r="Y49" i="9" s="1"/>
  <c r="AF49" i="9" s="1"/>
  <c r="AD50" i="9"/>
  <c r="AO50" i="9" s="1"/>
  <c r="AC50" i="9"/>
  <c r="S51" i="9"/>
  <c r="Y51" i="9" s="1"/>
  <c r="AF51" i="9" s="1"/>
  <c r="AD52" i="9"/>
  <c r="AO52" i="9" s="1"/>
  <c r="AC52" i="9"/>
  <c r="S53" i="9"/>
  <c r="Y53" i="9" s="1"/>
  <c r="AF53" i="9" s="1"/>
  <c r="R66" i="9"/>
  <c r="X66" i="9" s="1"/>
  <c r="AE66" i="9" s="1"/>
  <c r="R69" i="9"/>
  <c r="X69" i="9" s="1"/>
  <c r="R75" i="9"/>
  <c r="X75" i="9" s="1"/>
  <c r="AE75" i="9" s="1"/>
  <c r="S75" i="9"/>
  <c r="Y75" i="9" s="1"/>
  <c r="AF75" i="9" s="1"/>
  <c r="S84" i="9"/>
  <c r="Y84" i="9" s="1"/>
  <c r="AF84" i="9" s="1"/>
  <c r="R84" i="9"/>
  <c r="X84" i="9" s="1"/>
  <c r="AC88" i="9"/>
  <c r="AD88" i="9"/>
  <c r="AO88" i="9" s="1"/>
  <c r="R101" i="9"/>
  <c r="X101" i="9" s="1"/>
  <c r="S101" i="9"/>
  <c r="Y101" i="9" s="1"/>
  <c r="AF102" i="9"/>
  <c r="R110" i="9"/>
  <c r="X110" i="9" s="1"/>
  <c r="AE110" i="9" s="1"/>
  <c r="S110" i="9"/>
  <c r="Y110" i="9" s="1"/>
  <c r="R79" i="9"/>
  <c r="X79" i="9" s="1"/>
  <c r="AE79" i="9" s="1"/>
  <c r="S96" i="9"/>
  <c r="Y96" i="9" s="1"/>
  <c r="AF96" i="9" s="1"/>
  <c r="R96" i="9"/>
  <c r="X96" i="9" s="1"/>
  <c r="AE96" i="9" s="1"/>
  <c r="U100" i="9"/>
  <c r="W100" i="9" s="1"/>
  <c r="M122" i="9"/>
  <c r="S79" i="9"/>
  <c r="Y79" i="9" s="1"/>
  <c r="AJ79" i="9" s="1"/>
  <c r="AF83" i="9"/>
  <c r="S85" i="9"/>
  <c r="Y85" i="9" s="1"/>
  <c r="M108" i="9"/>
  <c r="R81" i="9"/>
  <c r="X81" i="9" s="1"/>
  <c r="AE81" i="9" s="1"/>
  <c r="AE92" i="9"/>
  <c r="S117" i="9"/>
  <c r="Y117" i="9" s="1"/>
  <c r="R117" i="9"/>
  <c r="X117" i="9" s="1"/>
  <c r="M58" i="9"/>
  <c r="T58" i="9" s="1"/>
  <c r="U58" i="9" s="1"/>
  <c r="M59" i="9"/>
  <c r="M61" i="9"/>
  <c r="M63" i="9"/>
  <c r="M65" i="9"/>
  <c r="M67" i="9"/>
  <c r="M69" i="9"/>
  <c r="M71" i="9"/>
  <c r="M73" i="9"/>
  <c r="M76" i="9"/>
  <c r="S81" i="9"/>
  <c r="Y81" i="9" s="1"/>
  <c r="AF81" i="9" s="1"/>
  <c r="M84" i="9"/>
  <c r="M92" i="9"/>
  <c r="AP98" i="9"/>
  <c r="AK98" i="9"/>
  <c r="AA98" i="9"/>
  <c r="AB98" i="9" s="1"/>
  <c r="S99" i="9"/>
  <c r="Y99" i="9" s="1"/>
  <c r="R99" i="9"/>
  <c r="X99" i="9" s="1"/>
  <c r="AF103" i="9"/>
  <c r="AE107" i="9"/>
  <c r="R108" i="9"/>
  <c r="X108" i="9" s="1"/>
  <c r="AE108" i="9" s="1"/>
  <c r="S108" i="9"/>
  <c r="Y108" i="9" s="1"/>
  <c r="R77" i="9"/>
  <c r="X77" i="9" s="1"/>
  <c r="AE77" i="9" s="1"/>
  <c r="M82" i="9"/>
  <c r="M96" i="9"/>
  <c r="AF109" i="9"/>
  <c r="M118" i="9"/>
  <c r="M116" i="9"/>
  <c r="T93" i="9"/>
  <c r="T95" i="9"/>
  <c r="T106" i="9"/>
  <c r="AE114" i="9"/>
  <c r="AF125" i="9"/>
  <c r="T90" i="9"/>
  <c r="U104" i="9"/>
  <c r="W104" i="9" s="1"/>
  <c r="AJ104" i="9" s="1"/>
  <c r="S114" i="9"/>
  <c r="Y114" i="9" s="1"/>
  <c r="AF114" i="9" s="1"/>
  <c r="R125" i="9"/>
  <c r="X125" i="9" s="1"/>
  <c r="AG89" i="9"/>
  <c r="AK97" i="9"/>
  <c r="AF104" i="9"/>
  <c r="AF111" i="9"/>
  <c r="M112" i="9"/>
  <c r="T101" i="9"/>
  <c r="T102" i="9"/>
  <c r="R106" i="9"/>
  <c r="X106" i="9" s="1"/>
  <c r="S106" i="9"/>
  <c r="Y106" i="9" s="1"/>
  <c r="S107" i="9"/>
  <c r="Y107" i="9" s="1"/>
  <c r="T113" i="9"/>
  <c r="T115" i="9"/>
  <c r="R118" i="9"/>
  <c r="X118" i="9" s="1"/>
  <c r="AE118" i="9" s="1"/>
  <c r="M120" i="9"/>
  <c r="R122" i="9"/>
  <c r="X122" i="9" s="1"/>
  <c r="AE122" i="9" s="1"/>
  <c r="M124" i="9"/>
  <c r="R93" i="9"/>
  <c r="X93" i="9" s="1"/>
  <c r="R98" i="9"/>
  <c r="X98" i="9" s="1"/>
  <c r="AE103" i="9"/>
  <c r="R105" i="9"/>
  <c r="X105" i="9" s="1"/>
  <c r="M110" i="9"/>
  <c r="T111" i="9"/>
  <c r="T99" i="9"/>
  <c r="T109" i="9"/>
  <c r="R102" i="9"/>
  <c r="X102" i="9" s="1"/>
  <c r="T105" i="9"/>
  <c r="R100" i="9"/>
  <c r="X100" i="9" s="1"/>
  <c r="T103" i="9"/>
  <c r="R116" i="9"/>
  <c r="X116" i="9" s="1"/>
  <c r="AE116" i="9" s="1"/>
  <c r="R104" i="9"/>
  <c r="X104" i="9" s="1"/>
  <c r="T107" i="9"/>
  <c r="T117" i="9"/>
  <c r="T119" i="9"/>
  <c r="T121" i="9"/>
  <c r="T123" i="9"/>
  <c r="T125" i="9"/>
  <c r="S85" i="7"/>
  <c r="Y85" i="7" s="1"/>
  <c r="R85" i="7"/>
  <c r="X85" i="7" s="1"/>
  <c r="AE85" i="7" s="1"/>
  <c r="Z76" i="7"/>
  <c r="W76" i="7"/>
  <c r="AC76" i="7" s="1"/>
  <c r="R37" i="7"/>
  <c r="X37" i="7" s="1"/>
  <c r="AE37" i="7" s="1"/>
  <c r="S37" i="7"/>
  <c r="Y37" i="7" s="1"/>
  <c r="AF37" i="7" s="1"/>
  <c r="R84" i="7"/>
  <c r="X84" i="7" s="1"/>
  <c r="AI84" i="7" s="1"/>
  <c r="S84" i="7"/>
  <c r="Y84" i="7" s="1"/>
  <c r="AJ84" i="7" s="1"/>
  <c r="AC73" i="7"/>
  <c r="AD73" i="7"/>
  <c r="AO73" i="7" s="1"/>
  <c r="R57" i="7"/>
  <c r="X57" i="7" s="1"/>
  <c r="AE57" i="7" s="1"/>
  <c r="S57" i="7"/>
  <c r="Y57" i="7" s="1"/>
  <c r="AF57" i="7" s="1"/>
  <c r="Z73" i="7"/>
  <c r="R87" i="7"/>
  <c r="X87" i="7" s="1"/>
  <c r="AE87" i="7" s="1"/>
  <c r="R99" i="7"/>
  <c r="X99" i="7" s="1"/>
  <c r="AE99" i="7" s="1"/>
  <c r="R95" i="7"/>
  <c r="X95" i="7" s="1"/>
  <c r="AE95" i="7" s="1"/>
  <c r="S59" i="7"/>
  <c r="Y59" i="7" s="1"/>
  <c r="AF59" i="7" s="1"/>
  <c r="S93" i="7"/>
  <c r="Y93" i="7" s="1"/>
  <c r="AF93" i="7" s="1"/>
  <c r="R90" i="7"/>
  <c r="X90" i="7" s="1"/>
  <c r="AE90" i="7" s="1"/>
  <c r="S29" i="7"/>
  <c r="Y29" i="7" s="1"/>
  <c r="AF29" i="7" s="1"/>
  <c r="U110" i="7"/>
  <c r="Z110" i="7" s="1"/>
  <c r="U78" i="7"/>
  <c r="W78" i="7" s="1"/>
  <c r="AD78" i="7" s="1"/>
  <c r="AO78" i="7" s="1"/>
  <c r="Z112" i="7"/>
  <c r="U120" i="7"/>
  <c r="Z120" i="7" s="1"/>
  <c r="S31" i="7"/>
  <c r="Y31" i="7" s="1"/>
  <c r="AF31" i="7" s="1"/>
  <c r="S76" i="7"/>
  <c r="Y76" i="7" s="1"/>
  <c r="AF76" i="7" s="1"/>
  <c r="R81" i="7"/>
  <c r="X81" i="7" s="1"/>
  <c r="AE81" i="7" s="1"/>
  <c r="R92" i="7"/>
  <c r="X92" i="7" s="1"/>
  <c r="AE92" i="7" s="1"/>
  <c r="AE35" i="8"/>
  <c r="AF35" i="8"/>
  <c r="AF61" i="8"/>
  <c r="AE42" i="8"/>
  <c r="AF43" i="8"/>
  <c r="AI55" i="8"/>
  <c r="S34" i="8"/>
  <c r="S32" i="8"/>
  <c r="S26" i="8"/>
  <c r="S30" i="8"/>
  <c r="S33" i="8"/>
  <c r="M35" i="8"/>
  <c r="S28" i="8"/>
  <c r="M47" i="8"/>
  <c r="T52" i="8"/>
  <c r="M79" i="8"/>
  <c r="T111" i="8"/>
  <c r="M39" i="8"/>
  <c r="T68" i="8"/>
  <c r="T34" i="8"/>
  <c r="AF37" i="8"/>
  <c r="T40" i="8"/>
  <c r="M43" i="8"/>
  <c r="T44" i="8"/>
  <c r="AI56" i="8"/>
  <c r="T78" i="8"/>
  <c r="AF104" i="8"/>
  <c r="M67" i="8"/>
  <c r="T30" i="8"/>
  <c r="M80" i="8"/>
  <c r="M88" i="8"/>
  <c r="AF89" i="8"/>
  <c r="M73" i="8"/>
  <c r="AI58" i="8"/>
  <c r="M64" i="8"/>
  <c r="M29" i="8"/>
  <c r="T28" i="8"/>
  <c r="S31" i="8"/>
  <c r="M33" i="8"/>
  <c r="T37" i="8"/>
  <c r="T65" i="8"/>
  <c r="M27" i="8"/>
  <c r="T38" i="8"/>
  <c r="AF39" i="8"/>
  <c r="M53" i="8"/>
  <c r="T113" i="8"/>
  <c r="T36" i="8"/>
  <c r="M77" i="8"/>
  <c r="T32" i="8"/>
  <c r="M85" i="8"/>
  <c r="T74" i="8"/>
  <c r="S27" i="8"/>
  <c r="T26" i="8"/>
  <c r="S29" i="8"/>
  <c r="M31" i="8"/>
  <c r="M51" i="8"/>
  <c r="M66" i="8"/>
  <c r="M71" i="8"/>
  <c r="T86" i="8"/>
  <c r="T96" i="8"/>
  <c r="M109" i="8"/>
  <c r="T48" i="8"/>
  <c r="T61" i="8"/>
  <c r="AF75" i="8"/>
  <c r="T42" i="8"/>
  <c r="M60" i="8"/>
  <c r="M83" i="8"/>
  <c r="T84" i="8"/>
  <c r="M91" i="8"/>
  <c r="AE112" i="8"/>
  <c r="AF112" i="8"/>
  <c r="T46" i="8"/>
  <c r="T59" i="8"/>
  <c r="M87" i="8"/>
  <c r="T116" i="8"/>
  <c r="M75" i="8"/>
  <c r="T76" i="8"/>
  <c r="M81" i="8"/>
  <c r="M94" i="8"/>
  <c r="T97" i="8"/>
  <c r="T50" i="8"/>
  <c r="AF53" i="8"/>
  <c r="T63" i="8"/>
  <c r="M69" i="8"/>
  <c r="T70" i="8"/>
  <c r="M102" i="8"/>
  <c r="M104" i="8"/>
  <c r="T105" i="8"/>
  <c r="M112" i="8"/>
  <c r="M90" i="8"/>
  <c r="T95" i="8"/>
  <c r="M98" i="8"/>
  <c r="M101" i="8"/>
  <c r="T107" i="8"/>
  <c r="M114" i="8"/>
  <c r="M119" i="8"/>
  <c r="M89" i="8"/>
  <c r="M92" i="8"/>
  <c r="M110" i="8"/>
  <c r="T123" i="8"/>
  <c r="M93" i="8"/>
  <c r="M124" i="8"/>
  <c r="M125" i="8"/>
  <c r="T121" i="8"/>
  <c r="M117" i="8"/>
  <c r="T99" i="8"/>
  <c r="M106" i="8"/>
  <c r="T115" i="8"/>
  <c r="M122" i="8"/>
  <c r="M120" i="8"/>
  <c r="M118" i="8"/>
  <c r="AE29" i="7"/>
  <c r="M28" i="7"/>
  <c r="S36" i="7"/>
  <c r="Y36" i="7" s="1"/>
  <c r="AF36" i="7" s="1"/>
  <c r="R36" i="7"/>
  <c r="X36" i="7" s="1"/>
  <c r="AE36" i="7" s="1"/>
  <c r="AF33" i="7"/>
  <c r="S39" i="7"/>
  <c r="Y39" i="7" s="1"/>
  <c r="R39" i="7"/>
  <c r="X39" i="7" s="1"/>
  <c r="S48" i="7"/>
  <c r="Y48" i="7" s="1"/>
  <c r="R48" i="7"/>
  <c r="X48" i="7" s="1"/>
  <c r="AE48" i="7" s="1"/>
  <c r="S32" i="7"/>
  <c r="Y32" i="7" s="1"/>
  <c r="AF32" i="7" s="1"/>
  <c r="R32" i="7"/>
  <c r="X32" i="7" s="1"/>
  <c r="M40" i="7"/>
  <c r="S27" i="7"/>
  <c r="Y27" i="7" s="1"/>
  <c r="AF27" i="7" s="1"/>
  <c r="R27" i="7"/>
  <c r="X27" i="7" s="1"/>
  <c r="AF26" i="7"/>
  <c r="S58" i="7"/>
  <c r="Y58" i="7" s="1"/>
  <c r="AK58" i="7" s="1"/>
  <c r="R58" i="7"/>
  <c r="X58" i="7" s="1"/>
  <c r="AG58" i="7" s="1"/>
  <c r="S35" i="7"/>
  <c r="Y35" i="7" s="1"/>
  <c r="R35" i="7"/>
  <c r="X35" i="7" s="1"/>
  <c r="S49" i="7"/>
  <c r="Y49" i="7" s="1"/>
  <c r="AF49" i="7" s="1"/>
  <c r="R49" i="7"/>
  <c r="X49" i="7" s="1"/>
  <c r="S52" i="7"/>
  <c r="Y52" i="7" s="1"/>
  <c r="AF52" i="7" s="1"/>
  <c r="R52" i="7"/>
  <c r="X52" i="7" s="1"/>
  <c r="AE52" i="7" s="1"/>
  <c r="M27" i="7"/>
  <c r="R33" i="7"/>
  <c r="X33" i="7" s="1"/>
  <c r="M37" i="7"/>
  <c r="S55" i="7"/>
  <c r="Y55" i="7" s="1"/>
  <c r="R55" i="7"/>
  <c r="X55" i="7" s="1"/>
  <c r="R26" i="7"/>
  <c r="X26" i="7" s="1"/>
  <c r="S30" i="7"/>
  <c r="Y30" i="7" s="1"/>
  <c r="AF30" i="7" s="1"/>
  <c r="R30" i="7"/>
  <c r="X30" i="7" s="1"/>
  <c r="AE30" i="7" s="1"/>
  <c r="M34" i="7"/>
  <c r="M57" i="7"/>
  <c r="AP57" i="7"/>
  <c r="AJ59" i="7"/>
  <c r="S53" i="7"/>
  <c r="Y53" i="7" s="1"/>
  <c r="AF53" i="7" s="1"/>
  <c r="R53" i="7"/>
  <c r="X53" i="7" s="1"/>
  <c r="T33" i="7"/>
  <c r="T38" i="7"/>
  <c r="S51" i="7"/>
  <c r="Y51" i="7" s="1"/>
  <c r="AF51" i="7" s="1"/>
  <c r="R51" i="7"/>
  <c r="X51" i="7" s="1"/>
  <c r="S61" i="7"/>
  <c r="Y61" i="7" s="1"/>
  <c r="AF61" i="7" s="1"/>
  <c r="R61" i="7"/>
  <c r="X61" i="7" s="1"/>
  <c r="AE61" i="7" s="1"/>
  <c r="S40" i="7"/>
  <c r="Y40" i="7" s="1"/>
  <c r="AF40" i="7" s="1"/>
  <c r="R40" i="7"/>
  <c r="X40" i="7" s="1"/>
  <c r="AE40" i="7" s="1"/>
  <c r="AP54" i="7"/>
  <c r="M54" i="7"/>
  <c r="S56" i="7"/>
  <c r="Y56" i="7" s="1"/>
  <c r="AF56" i="7" s="1"/>
  <c r="R56" i="7"/>
  <c r="X56" i="7" s="1"/>
  <c r="AE56" i="7" s="1"/>
  <c r="AC58" i="7"/>
  <c r="AC59" i="7"/>
  <c r="AD59" i="7"/>
  <c r="AO59" i="7" s="1"/>
  <c r="T29" i="7"/>
  <c r="M30" i="7"/>
  <c r="T31" i="7"/>
  <c r="T35" i="7"/>
  <c r="S47" i="7"/>
  <c r="Y47" i="7" s="1"/>
  <c r="AF47" i="7" s="1"/>
  <c r="R47" i="7"/>
  <c r="X47" i="7" s="1"/>
  <c r="AE47" i="7" s="1"/>
  <c r="M26" i="7"/>
  <c r="R28" i="7"/>
  <c r="X28" i="7" s="1"/>
  <c r="AE28" i="7" s="1"/>
  <c r="S41" i="7"/>
  <c r="Y41" i="7" s="1"/>
  <c r="AF41" i="7" s="1"/>
  <c r="R41" i="7"/>
  <c r="X41" i="7" s="1"/>
  <c r="S43" i="7"/>
  <c r="Y43" i="7" s="1"/>
  <c r="AF43" i="7" s="1"/>
  <c r="R43" i="7"/>
  <c r="X43" i="7" s="1"/>
  <c r="M46" i="7"/>
  <c r="T60" i="7"/>
  <c r="S44" i="7"/>
  <c r="Y44" i="7" s="1"/>
  <c r="AF63" i="7"/>
  <c r="S100" i="7"/>
  <c r="Y100" i="7" s="1"/>
  <c r="R100" i="7"/>
  <c r="X100" i="7" s="1"/>
  <c r="AE100" i="7" s="1"/>
  <c r="T32" i="7"/>
  <c r="R44" i="7"/>
  <c r="X44" i="7" s="1"/>
  <c r="AP55" i="7"/>
  <c r="M87" i="7"/>
  <c r="S38" i="7"/>
  <c r="Y38" i="7" s="1"/>
  <c r="AF38" i="7" s="1"/>
  <c r="R38" i="7"/>
  <c r="X38" i="7" s="1"/>
  <c r="M45" i="7"/>
  <c r="M47" i="7"/>
  <c r="T50" i="7"/>
  <c r="S54" i="7"/>
  <c r="Y54" i="7" s="1"/>
  <c r="AF54" i="7" s="1"/>
  <c r="R54" i="7"/>
  <c r="X54" i="7" s="1"/>
  <c r="AE54" i="7" s="1"/>
  <c r="T66" i="7"/>
  <c r="S77" i="7"/>
  <c r="Y77" i="7" s="1"/>
  <c r="R77" i="7"/>
  <c r="X77" i="7" s="1"/>
  <c r="AF80" i="7"/>
  <c r="M36" i="7"/>
  <c r="U39" i="7"/>
  <c r="Z39" i="7" s="1"/>
  <c r="M42" i="7"/>
  <c r="S34" i="7"/>
  <c r="Y34" i="7" s="1"/>
  <c r="AF34" i="7" s="1"/>
  <c r="R34" i="7"/>
  <c r="X34" i="7" s="1"/>
  <c r="M41" i="7"/>
  <c r="S50" i="7"/>
  <c r="Y50" i="7" s="1"/>
  <c r="AF50" i="7" s="1"/>
  <c r="R50" i="7"/>
  <c r="X50" i="7" s="1"/>
  <c r="AE50" i="7" s="1"/>
  <c r="M56" i="7"/>
  <c r="M64" i="7"/>
  <c r="AF69" i="7"/>
  <c r="AC84" i="7"/>
  <c r="AD84" i="7"/>
  <c r="AO84" i="7" s="1"/>
  <c r="R101" i="7"/>
  <c r="X101" i="7" s="1"/>
  <c r="S101" i="7"/>
  <c r="Y101" i="7" s="1"/>
  <c r="S45" i="7"/>
  <c r="Y45" i="7" s="1"/>
  <c r="AF45" i="7" s="1"/>
  <c r="R45" i="7"/>
  <c r="X45" i="7" s="1"/>
  <c r="AE45" i="7" s="1"/>
  <c r="M48" i="7"/>
  <c r="M52" i="7"/>
  <c r="AP56" i="7"/>
  <c r="Z59" i="7"/>
  <c r="M61" i="7"/>
  <c r="R67" i="7"/>
  <c r="X67" i="7" s="1"/>
  <c r="S83" i="7"/>
  <c r="Y83" i="7" s="1"/>
  <c r="R83" i="7"/>
  <c r="X83" i="7" s="1"/>
  <c r="S94" i="7"/>
  <c r="Y94" i="7" s="1"/>
  <c r="R94" i="7"/>
  <c r="X94" i="7" s="1"/>
  <c r="T108" i="7"/>
  <c r="S46" i="7"/>
  <c r="Y46" i="7" s="1"/>
  <c r="AF46" i="7" s="1"/>
  <c r="S62" i="7"/>
  <c r="Y62" i="7" s="1"/>
  <c r="R62" i="7"/>
  <c r="X62" i="7" s="1"/>
  <c r="R65" i="7"/>
  <c r="X65" i="7" s="1"/>
  <c r="S65" i="7"/>
  <c r="Y65" i="7" s="1"/>
  <c r="AF65" i="7" s="1"/>
  <c r="S66" i="7"/>
  <c r="Y66" i="7" s="1"/>
  <c r="AF66" i="7" s="1"/>
  <c r="R66" i="7"/>
  <c r="X66" i="7" s="1"/>
  <c r="S67" i="7"/>
  <c r="Y67" i="7" s="1"/>
  <c r="S72" i="7"/>
  <c r="Y72" i="7" s="1"/>
  <c r="R72" i="7"/>
  <c r="X72" i="7" s="1"/>
  <c r="AE72" i="7" s="1"/>
  <c r="M43" i="7"/>
  <c r="M44" i="7"/>
  <c r="R46" i="7"/>
  <c r="X46" i="7" s="1"/>
  <c r="AE46" i="7" s="1"/>
  <c r="R59" i="7"/>
  <c r="X59" i="7" s="1"/>
  <c r="AE59" i="7" s="1"/>
  <c r="R63" i="7"/>
  <c r="X63" i="7" s="1"/>
  <c r="Z68" i="7"/>
  <c r="AE75" i="7"/>
  <c r="M65" i="7"/>
  <c r="S68" i="7"/>
  <c r="Y68" i="7" s="1"/>
  <c r="AF68" i="7" s="1"/>
  <c r="R68" i="7"/>
  <c r="X68" i="7" s="1"/>
  <c r="T70" i="7"/>
  <c r="T75" i="7"/>
  <c r="S86" i="7"/>
  <c r="Y86" i="7" s="1"/>
  <c r="AF86" i="7" s="1"/>
  <c r="R86" i="7"/>
  <c r="X86" i="7" s="1"/>
  <c r="AE86" i="7" s="1"/>
  <c r="T105" i="7"/>
  <c r="S64" i="7"/>
  <c r="Y64" i="7" s="1"/>
  <c r="AF64" i="7" s="1"/>
  <c r="M69" i="7"/>
  <c r="S70" i="7"/>
  <c r="Y70" i="7" s="1"/>
  <c r="AF70" i="7" s="1"/>
  <c r="R70" i="7"/>
  <c r="X70" i="7" s="1"/>
  <c r="Z80" i="7"/>
  <c r="W80" i="7"/>
  <c r="AJ80" i="7" s="1"/>
  <c r="T104" i="7"/>
  <c r="T114" i="7"/>
  <c r="T122" i="7"/>
  <c r="T55" i="7"/>
  <c r="U55" i="7" s="1"/>
  <c r="M62" i="7"/>
  <c r="R64" i="7"/>
  <c r="X64" i="7" s="1"/>
  <c r="AE64" i="7" s="1"/>
  <c r="T71" i="7"/>
  <c r="R78" i="7"/>
  <c r="X78" i="7" s="1"/>
  <c r="S78" i="7"/>
  <c r="Y78" i="7" s="1"/>
  <c r="S81" i="7"/>
  <c r="Y81" i="7" s="1"/>
  <c r="AC112" i="7"/>
  <c r="AD112" i="7"/>
  <c r="AO112" i="7" s="1"/>
  <c r="AP58" i="7"/>
  <c r="S60" i="7"/>
  <c r="Y60" i="7" s="1"/>
  <c r="W68" i="7"/>
  <c r="AJ73" i="7"/>
  <c r="AF73" i="7"/>
  <c r="M49" i="7"/>
  <c r="M51" i="7"/>
  <c r="M53" i="7"/>
  <c r="R60" i="7"/>
  <c r="X60" i="7" s="1"/>
  <c r="AE60" i="7" s="1"/>
  <c r="M63" i="7"/>
  <c r="M67" i="7"/>
  <c r="R69" i="7"/>
  <c r="X69" i="7" s="1"/>
  <c r="AE69" i="7" s="1"/>
  <c r="S71" i="7"/>
  <c r="Y71" i="7" s="1"/>
  <c r="R71" i="7"/>
  <c r="X71" i="7" s="1"/>
  <c r="U72" i="7"/>
  <c r="W72" i="7" s="1"/>
  <c r="R73" i="7"/>
  <c r="X73" i="7" s="1"/>
  <c r="T74" i="7"/>
  <c r="S82" i="7"/>
  <c r="Y82" i="7" s="1"/>
  <c r="T113" i="7"/>
  <c r="S79" i="7"/>
  <c r="Y79" i="7" s="1"/>
  <c r="R80" i="7"/>
  <c r="X80" i="7" s="1"/>
  <c r="S96" i="7"/>
  <c r="Y96" i="7" s="1"/>
  <c r="AF96" i="7" s="1"/>
  <c r="R96" i="7"/>
  <c r="X96" i="7" s="1"/>
  <c r="AE96" i="7" s="1"/>
  <c r="T77" i="7"/>
  <c r="U82" i="7"/>
  <c r="W82" i="7" s="1"/>
  <c r="AG82" i="7" s="1"/>
  <c r="AF85" i="7"/>
  <c r="M92" i="7"/>
  <c r="T116" i="7"/>
  <c r="T121" i="7"/>
  <c r="AK73" i="7"/>
  <c r="T79" i="7"/>
  <c r="Z84" i="7"/>
  <c r="R74" i="7"/>
  <c r="X74" i="7" s="1"/>
  <c r="AE76" i="7"/>
  <c r="T81" i="7"/>
  <c r="AF87" i="7"/>
  <c r="M96" i="7"/>
  <c r="M97" i="7"/>
  <c r="M98" i="7"/>
  <c r="T106" i="7"/>
  <c r="T124" i="7"/>
  <c r="T83" i="7"/>
  <c r="M86" i="7"/>
  <c r="S91" i="7"/>
  <c r="Y91" i="7" s="1"/>
  <c r="R91" i="7"/>
  <c r="X91" i="7" s="1"/>
  <c r="AE91" i="7" s="1"/>
  <c r="M102" i="7"/>
  <c r="M91" i="7"/>
  <c r="M88" i="7"/>
  <c r="M93" i="7"/>
  <c r="R102" i="7"/>
  <c r="X102" i="7" s="1"/>
  <c r="AE102" i="7" s="1"/>
  <c r="S102" i="7"/>
  <c r="Y102" i="7" s="1"/>
  <c r="AF102" i="7" s="1"/>
  <c r="T85" i="7"/>
  <c r="S92" i="7"/>
  <c r="Y92" i="7" s="1"/>
  <c r="M94" i="7"/>
  <c r="M99" i="7"/>
  <c r="M100" i="7"/>
  <c r="M89" i="7"/>
  <c r="S98" i="7"/>
  <c r="Y98" i="7" s="1"/>
  <c r="AF98" i="7" s="1"/>
  <c r="R106" i="7"/>
  <c r="X106" i="7" s="1"/>
  <c r="S106" i="7"/>
  <c r="Y106" i="7" s="1"/>
  <c r="AF106" i="7" s="1"/>
  <c r="S107" i="7"/>
  <c r="Y107" i="7" s="1"/>
  <c r="R107" i="7"/>
  <c r="X107" i="7" s="1"/>
  <c r="R114" i="7"/>
  <c r="X114" i="7" s="1"/>
  <c r="S114" i="7"/>
  <c r="Y114" i="7" s="1"/>
  <c r="AF114" i="7" s="1"/>
  <c r="S115" i="7"/>
  <c r="Y115" i="7" s="1"/>
  <c r="R115" i="7"/>
  <c r="X115" i="7" s="1"/>
  <c r="R122" i="7"/>
  <c r="X122" i="7" s="1"/>
  <c r="S122" i="7"/>
  <c r="Y122" i="7" s="1"/>
  <c r="AF122" i="7" s="1"/>
  <c r="S123" i="7"/>
  <c r="Y123" i="7" s="1"/>
  <c r="R123" i="7"/>
  <c r="X123" i="7" s="1"/>
  <c r="S88" i="7"/>
  <c r="Y88" i="7" s="1"/>
  <c r="M90" i="7"/>
  <c r="M95" i="7"/>
  <c r="R98" i="7"/>
  <c r="X98" i="7" s="1"/>
  <c r="R109" i="7"/>
  <c r="X109" i="7" s="1"/>
  <c r="R117" i="7"/>
  <c r="X117" i="7" s="1"/>
  <c r="R125" i="7"/>
  <c r="X125" i="7" s="1"/>
  <c r="AE125" i="7" s="1"/>
  <c r="T103" i="7"/>
  <c r="R104" i="7"/>
  <c r="X104" i="7" s="1"/>
  <c r="S104" i="7"/>
  <c r="Y104" i="7" s="1"/>
  <c r="AF104" i="7" s="1"/>
  <c r="T111" i="7"/>
  <c r="R112" i="7"/>
  <c r="X112" i="7" s="1"/>
  <c r="AG112" i="7" s="1"/>
  <c r="S112" i="7"/>
  <c r="Y112" i="7" s="1"/>
  <c r="AF112" i="7" s="1"/>
  <c r="W118" i="7"/>
  <c r="T119" i="7"/>
  <c r="R120" i="7"/>
  <c r="X120" i="7" s="1"/>
  <c r="S120" i="7"/>
  <c r="Y120" i="7" s="1"/>
  <c r="AF120" i="7" s="1"/>
  <c r="S103" i="7"/>
  <c r="Y103" i="7" s="1"/>
  <c r="S111" i="7"/>
  <c r="Y111" i="7" s="1"/>
  <c r="S119" i="7"/>
  <c r="Y119" i="7" s="1"/>
  <c r="M101" i="7"/>
  <c r="R103" i="7"/>
  <c r="X103" i="7" s="1"/>
  <c r="T107" i="7"/>
  <c r="R108" i="7"/>
  <c r="X108" i="7" s="1"/>
  <c r="S108" i="7"/>
  <c r="Y108" i="7" s="1"/>
  <c r="AF108" i="7" s="1"/>
  <c r="R111" i="7"/>
  <c r="X111" i="7" s="1"/>
  <c r="T115" i="7"/>
  <c r="R116" i="7"/>
  <c r="X116" i="7" s="1"/>
  <c r="S116" i="7"/>
  <c r="Y116" i="7" s="1"/>
  <c r="AF116" i="7" s="1"/>
  <c r="R119" i="7"/>
  <c r="X119" i="7" s="1"/>
  <c r="T123" i="7"/>
  <c r="R124" i="7"/>
  <c r="X124" i="7" s="1"/>
  <c r="S124" i="7"/>
  <c r="Y124" i="7" s="1"/>
  <c r="AF124" i="7" s="1"/>
  <c r="R105" i="7"/>
  <c r="X105" i="7" s="1"/>
  <c r="T109" i="7"/>
  <c r="R110" i="7"/>
  <c r="X110" i="7" s="1"/>
  <c r="S110" i="7"/>
  <c r="Y110" i="7" s="1"/>
  <c r="AF110" i="7" s="1"/>
  <c r="R113" i="7"/>
  <c r="X113" i="7" s="1"/>
  <c r="T117" i="7"/>
  <c r="R118" i="7"/>
  <c r="X118" i="7" s="1"/>
  <c r="S118" i="7"/>
  <c r="Y118" i="7" s="1"/>
  <c r="AF118" i="7" s="1"/>
  <c r="R121" i="7"/>
  <c r="X121" i="7" s="1"/>
  <c r="T125" i="7"/>
  <c r="Z100" i="8" l="1"/>
  <c r="AA100" i="8" s="1"/>
  <c r="AB100" i="8" s="1"/>
  <c r="AP100" i="8" s="1"/>
  <c r="Z103" i="8"/>
  <c r="AA103" i="8" s="1"/>
  <c r="AB103" i="8" s="1"/>
  <c r="AP103" i="8" s="1"/>
  <c r="Z41" i="8"/>
  <c r="AA41" i="8" s="1"/>
  <c r="AB41" i="8" s="1"/>
  <c r="AP41" i="8" s="1"/>
  <c r="Z49" i="8"/>
  <c r="AA49" i="8" s="1"/>
  <c r="AB49" i="8" s="1"/>
  <c r="AP49" i="8" s="1"/>
  <c r="Z108" i="8"/>
  <c r="AA108" i="8" s="1"/>
  <c r="AB108" i="8" s="1"/>
  <c r="AP108" i="8" s="1"/>
  <c r="Z82" i="8"/>
  <c r="AA82" i="8" s="1"/>
  <c r="AB82" i="8" s="1"/>
  <c r="AP82" i="8" s="1"/>
  <c r="AC108" i="8"/>
  <c r="AD108" i="8"/>
  <c r="AO108" i="8" s="1"/>
  <c r="AE29" i="8"/>
  <c r="AF52" i="8"/>
  <c r="AE39" i="8"/>
  <c r="AJ45" i="8"/>
  <c r="Z45" i="8"/>
  <c r="AA45" i="8" s="1"/>
  <c r="AB45" i="8" s="1"/>
  <c r="AP45" i="8" s="1"/>
  <c r="AG72" i="8"/>
  <c r="AD41" i="8"/>
  <c r="AO41" i="8" s="1"/>
  <c r="AE28" i="8"/>
  <c r="AF60" i="8"/>
  <c r="AJ103" i="8"/>
  <c r="AF29" i="8"/>
  <c r="AE45" i="8"/>
  <c r="AE27" i="8"/>
  <c r="AC45" i="8"/>
  <c r="AE60" i="8"/>
  <c r="AF50" i="8"/>
  <c r="AJ62" i="8"/>
  <c r="AF41" i="8"/>
  <c r="AJ41" i="8"/>
  <c r="AK108" i="8"/>
  <c r="AJ108" i="8"/>
  <c r="AF84" i="7"/>
  <c r="AK41" i="8"/>
  <c r="AG62" i="8"/>
  <c r="AG78" i="7"/>
  <c r="AC78" i="7"/>
  <c r="W120" i="7"/>
  <c r="AD120" i="7" s="1"/>
  <c r="AO120" i="7" s="1"/>
  <c r="AK84" i="7"/>
  <c r="AJ76" i="7"/>
  <c r="AK59" i="7"/>
  <c r="AI76" i="7"/>
  <c r="AA59" i="7"/>
  <c r="AB59" i="7" s="1"/>
  <c r="AP59" i="7" s="1"/>
  <c r="AM59" i="7"/>
  <c r="AA110" i="7"/>
  <c r="AB110" i="7" s="1"/>
  <c r="AP110" i="7" s="1"/>
  <c r="AM110" i="7"/>
  <c r="AG76" i="7"/>
  <c r="AJ68" i="7"/>
  <c r="AA80" i="7"/>
  <c r="AB80" i="7" s="1"/>
  <c r="AP80" i="7" s="1"/>
  <c r="AM80" i="7"/>
  <c r="AD76" i="7"/>
  <c r="AO76" i="7" s="1"/>
  <c r="AA76" i="7"/>
  <c r="AB76" i="7" s="1"/>
  <c r="AP76" i="7" s="1"/>
  <c r="AM76" i="7"/>
  <c r="AK72" i="7"/>
  <c r="AK76" i="7"/>
  <c r="AA39" i="7"/>
  <c r="AB39" i="7" s="1"/>
  <c r="AP39" i="7" s="1"/>
  <c r="AM39" i="7"/>
  <c r="AA120" i="7"/>
  <c r="AB120" i="7" s="1"/>
  <c r="AP120" i="7" s="1"/>
  <c r="AM120" i="7"/>
  <c r="AA68" i="7"/>
  <c r="AB68" i="7" s="1"/>
  <c r="AP68" i="7" s="1"/>
  <c r="AM68" i="7"/>
  <c r="AA73" i="7"/>
  <c r="AB73" i="7" s="1"/>
  <c r="AP73" i="7" s="1"/>
  <c r="AM73" i="7"/>
  <c r="AA112" i="7"/>
  <c r="AB112" i="7" s="1"/>
  <c r="AP112" i="7" s="1"/>
  <c r="AM112" i="7"/>
  <c r="AA84" i="7"/>
  <c r="AB84" i="7" s="1"/>
  <c r="AP84" i="7" s="1"/>
  <c r="AM84" i="7"/>
  <c r="Z82" i="7"/>
  <c r="W110" i="7"/>
  <c r="AG110" i="7" s="1"/>
  <c r="AK80" i="7"/>
  <c r="Z72" i="7"/>
  <c r="AG98" i="9"/>
  <c r="AA37" i="9"/>
  <c r="AB37" i="9" s="1"/>
  <c r="AP37" i="9" s="1"/>
  <c r="AC28" i="9"/>
  <c r="AD28" i="9"/>
  <c r="AO28" i="9" s="1"/>
  <c r="AA79" i="9"/>
  <c r="AB79" i="9" s="1"/>
  <c r="AP79" i="9" s="1"/>
  <c r="AK104" i="9"/>
  <c r="W34" i="9"/>
  <c r="AG34" i="9" s="1"/>
  <c r="AA104" i="9"/>
  <c r="AB104" i="9" s="1"/>
  <c r="AP104" i="9" s="1"/>
  <c r="AC98" i="9"/>
  <c r="AA89" i="9"/>
  <c r="AB89" i="9" s="1"/>
  <c r="AP89" i="9" s="1"/>
  <c r="AD98" i="9"/>
  <c r="AO98" i="9" s="1"/>
  <c r="AG36" i="9"/>
  <c r="AG42" i="9"/>
  <c r="AK28" i="9"/>
  <c r="AI42" i="9"/>
  <c r="AI89" i="9"/>
  <c r="AI27" i="9"/>
  <c r="AA32" i="9"/>
  <c r="AB32" i="9" s="1"/>
  <c r="AP32" i="9" s="1"/>
  <c r="W26" i="9"/>
  <c r="AG26" i="9" s="1"/>
  <c r="AC100" i="9"/>
  <c r="AD100" i="9"/>
  <c r="AO100" i="9" s="1"/>
  <c r="AJ100" i="9"/>
  <c r="AK100" i="9"/>
  <c r="AG106" i="9"/>
  <c r="AD37" i="9"/>
  <c r="AO37" i="9" s="1"/>
  <c r="AC37" i="9"/>
  <c r="AK37" i="9"/>
  <c r="AJ37" i="9"/>
  <c r="U85" i="9"/>
  <c r="W85" i="9" s="1"/>
  <c r="AI86" i="9"/>
  <c r="AG86" i="9"/>
  <c r="AE86" i="9"/>
  <c r="T47" i="9"/>
  <c r="U117" i="9"/>
  <c r="W117" i="9" s="1"/>
  <c r="AJ117" i="9" s="1"/>
  <c r="AA117" i="9"/>
  <c r="AB117" i="9" s="1"/>
  <c r="AP117" i="9" s="1"/>
  <c r="T92" i="9"/>
  <c r="AA100" i="9"/>
  <c r="AB100" i="9" s="1"/>
  <c r="AP100" i="9" s="1"/>
  <c r="T29" i="9"/>
  <c r="U114" i="9"/>
  <c r="W114" i="9" s="1"/>
  <c r="AC86" i="9"/>
  <c r="AD86" i="9"/>
  <c r="AO86" i="9" s="1"/>
  <c r="AJ86" i="9"/>
  <c r="AF86" i="9"/>
  <c r="AE61" i="9"/>
  <c r="T49" i="9"/>
  <c r="W66" i="9"/>
  <c r="AG66" i="9" s="1"/>
  <c r="AK42" i="9"/>
  <c r="AJ42" i="9"/>
  <c r="AF42" i="9"/>
  <c r="AK30" i="9"/>
  <c r="AF30" i="9"/>
  <c r="AJ30" i="9"/>
  <c r="AC30" i="9"/>
  <c r="AD30" i="9"/>
  <c r="AO30" i="9" s="1"/>
  <c r="AI57" i="9"/>
  <c r="AE57" i="9"/>
  <c r="U105" i="9"/>
  <c r="W105" i="9" s="1"/>
  <c r="AA105" i="9"/>
  <c r="AB105" i="9" s="1"/>
  <c r="AP105" i="9" s="1"/>
  <c r="AE105" i="9"/>
  <c r="AI105" i="9"/>
  <c r="AG105" i="9"/>
  <c r="AC104" i="9"/>
  <c r="AD104" i="9"/>
  <c r="AO104" i="9" s="1"/>
  <c r="AA93" i="9"/>
  <c r="AB93" i="9" s="1"/>
  <c r="AP93" i="9" s="1"/>
  <c r="U93" i="9"/>
  <c r="W93" i="9" s="1"/>
  <c r="AE99" i="9"/>
  <c r="T63" i="9"/>
  <c r="AF85" i="9"/>
  <c r="AE101" i="9"/>
  <c r="AE69" i="9"/>
  <c r="AE119" i="9"/>
  <c r="AE80" i="9"/>
  <c r="AE113" i="9"/>
  <c r="T78" i="9"/>
  <c r="AE121" i="9"/>
  <c r="AF61" i="9"/>
  <c r="T51" i="9"/>
  <c r="T45" i="9"/>
  <c r="AK44" i="9"/>
  <c r="AJ44" i="9"/>
  <c r="AF44" i="9"/>
  <c r="AF39" i="9"/>
  <c r="AA38" i="9"/>
  <c r="AB38" i="9" s="1"/>
  <c r="AP38" i="9" s="1"/>
  <c r="AC32" i="9"/>
  <c r="AD32" i="9"/>
  <c r="AO32" i="9" s="1"/>
  <c r="AK32" i="9"/>
  <c r="AG28" i="9"/>
  <c r="AE28" i="9"/>
  <c r="AI28" i="9"/>
  <c r="AF57" i="9"/>
  <c r="AK57" i="9"/>
  <c r="AJ57" i="9"/>
  <c r="U102" i="9"/>
  <c r="W102" i="9" s="1"/>
  <c r="AI102" i="9" s="1"/>
  <c r="AG30" i="9"/>
  <c r="AI30" i="9"/>
  <c r="AE30" i="9"/>
  <c r="U115" i="9"/>
  <c r="W115" i="9" s="1"/>
  <c r="AD89" i="9"/>
  <c r="AO89" i="9" s="1"/>
  <c r="AC89" i="9"/>
  <c r="U113" i="9"/>
  <c r="W113" i="9" s="1"/>
  <c r="AG113" i="9" s="1"/>
  <c r="AF99" i="9"/>
  <c r="T76" i="9"/>
  <c r="T61" i="9"/>
  <c r="T108" i="9"/>
  <c r="AF119" i="9"/>
  <c r="U91" i="9"/>
  <c r="W91" i="9" s="1"/>
  <c r="AA91" i="9"/>
  <c r="AB91" i="9" s="1"/>
  <c r="AP91" i="9" s="1"/>
  <c r="T75" i="9"/>
  <c r="AF113" i="9"/>
  <c r="AK113" i="9"/>
  <c r="T81" i="9"/>
  <c r="AF121" i="9"/>
  <c r="U83" i="9"/>
  <c r="W83" i="9" s="1"/>
  <c r="AF59" i="9"/>
  <c r="AG37" i="9"/>
  <c r="T33" i="9"/>
  <c r="T53" i="9"/>
  <c r="W35" i="9"/>
  <c r="AJ35" i="9" s="1"/>
  <c r="U62" i="9"/>
  <c r="W62" i="9" s="1"/>
  <c r="AD38" i="9"/>
  <c r="AO38" i="9" s="1"/>
  <c r="AC38" i="9"/>
  <c r="AJ36" i="9"/>
  <c r="U119" i="9"/>
  <c r="W119" i="9" s="1"/>
  <c r="AK119" i="9" s="1"/>
  <c r="AE125" i="9"/>
  <c r="T96" i="9"/>
  <c r="T67" i="9"/>
  <c r="AF54" i="9"/>
  <c r="AK54" i="9"/>
  <c r="AJ54" i="9"/>
  <c r="AF38" i="9"/>
  <c r="AK38" i="9"/>
  <c r="AJ38" i="9"/>
  <c r="T74" i="9"/>
  <c r="U99" i="9"/>
  <c r="W99" i="9" s="1"/>
  <c r="AJ99" i="9" s="1"/>
  <c r="U101" i="9"/>
  <c r="W101" i="9" s="1"/>
  <c r="AG101" i="9" s="1"/>
  <c r="U95" i="9"/>
  <c r="W95" i="9" s="1"/>
  <c r="T82" i="9"/>
  <c r="AE73" i="9"/>
  <c r="AI104" i="9"/>
  <c r="AE104" i="9"/>
  <c r="AJ114" i="9"/>
  <c r="AG104" i="9"/>
  <c r="T120" i="9"/>
  <c r="T112" i="9"/>
  <c r="AK86" i="9"/>
  <c r="T84" i="9"/>
  <c r="T59" i="9"/>
  <c r="T122" i="9"/>
  <c r="AE88" i="9"/>
  <c r="AG88" i="9"/>
  <c r="AI88" i="9"/>
  <c r="AC97" i="9"/>
  <c r="AD97" i="9"/>
  <c r="AO97" i="9" s="1"/>
  <c r="AI58" i="9"/>
  <c r="AE58" i="9"/>
  <c r="AI37" i="9"/>
  <c r="AI97" i="9"/>
  <c r="AF64" i="9"/>
  <c r="AI36" i="9"/>
  <c r="T41" i="9"/>
  <c r="AF26" i="9"/>
  <c r="AK26" i="9"/>
  <c r="T68" i="9"/>
  <c r="AJ27" i="9"/>
  <c r="T118" i="9"/>
  <c r="AD79" i="9"/>
  <c r="AO79" i="9" s="1"/>
  <c r="AC79" i="9"/>
  <c r="AF73" i="9"/>
  <c r="AE100" i="9"/>
  <c r="AI100" i="9"/>
  <c r="T65" i="9"/>
  <c r="AK101" i="9"/>
  <c r="AF101" i="9"/>
  <c r="AJ101" i="9"/>
  <c r="U111" i="9"/>
  <c r="W111" i="9" s="1"/>
  <c r="U125" i="9"/>
  <c r="W125" i="9" s="1"/>
  <c r="AI125" i="9" s="1"/>
  <c r="AA125" i="9"/>
  <c r="AB125" i="9" s="1"/>
  <c r="AP125" i="9" s="1"/>
  <c r="U103" i="9"/>
  <c r="W103" i="9" s="1"/>
  <c r="T110" i="9"/>
  <c r="AE98" i="9"/>
  <c r="AI98" i="9"/>
  <c r="AF107" i="9"/>
  <c r="AG100" i="9"/>
  <c r="AK89" i="9"/>
  <c r="AF108" i="9"/>
  <c r="T73" i="9"/>
  <c r="AF110" i="9"/>
  <c r="W87" i="9"/>
  <c r="AG62" i="9"/>
  <c r="AF88" i="9"/>
  <c r="AJ88" i="9"/>
  <c r="AD36" i="9"/>
  <c r="AO36" i="9" s="1"/>
  <c r="AC36" i="9"/>
  <c r="AF76" i="9"/>
  <c r="AF58" i="9"/>
  <c r="AK58" i="9"/>
  <c r="AJ58" i="9"/>
  <c r="U94" i="9"/>
  <c r="W94" i="9" s="1"/>
  <c r="AF71" i="9"/>
  <c r="AC27" i="9"/>
  <c r="AD27" i="9"/>
  <c r="AO27" i="9" s="1"/>
  <c r="AK27" i="9"/>
  <c r="T60" i="9"/>
  <c r="AF35" i="9"/>
  <c r="T31" i="9"/>
  <c r="AG27" i="9"/>
  <c r="AF33" i="9"/>
  <c r="AI26" i="9"/>
  <c r="U123" i="9"/>
  <c r="W123" i="9" s="1"/>
  <c r="AI123" i="9" s="1"/>
  <c r="AE102" i="9"/>
  <c r="AI93" i="9"/>
  <c r="AE93" i="9"/>
  <c r="AF106" i="9"/>
  <c r="U106" i="9"/>
  <c r="W106" i="9" s="1"/>
  <c r="AJ106" i="9" s="1"/>
  <c r="T116" i="9"/>
  <c r="AG79" i="9"/>
  <c r="T71" i="9"/>
  <c r="AE117" i="9"/>
  <c r="AK79" i="9"/>
  <c r="AF79" i="9"/>
  <c r="AE84" i="9"/>
  <c r="T39" i="9"/>
  <c r="AE123" i="9"/>
  <c r="AE76" i="9"/>
  <c r="AI55" i="9"/>
  <c r="AG55" i="9"/>
  <c r="AE55" i="9"/>
  <c r="AE63" i="9"/>
  <c r="AE65" i="9"/>
  <c r="AK50" i="9"/>
  <c r="AJ50" i="9"/>
  <c r="AF50" i="9"/>
  <c r="AI56" i="9"/>
  <c r="AE56" i="9"/>
  <c r="U77" i="9"/>
  <c r="W77" i="9" s="1"/>
  <c r="U121" i="9"/>
  <c r="W121" i="9" s="1"/>
  <c r="AA121" i="9"/>
  <c r="AB121" i="9" s="1"/>
  <c r="AP121" i="9" s="1"/>
  <c r="U107" i="9"/>
  <c r="W107" i="9" s="1"/>
  <c r="AK107" i="9" s="1"/>
  <c r="AA107" i="9"/>
  <c r="AB107" i="9" s="1"/>
  <c r="AP107" i="9" s="1"/>
  <c r="AG102" i="9"/>
  <c r="U109" i="9"/>
  <c r="W109" i="9" s="1"/>
  <c r="T124" i="9"/>
  <c r="AE106" i="9"/>
  <c r="U90" i="9"/>
  <c r="W90" i="9" s="1"/>
  <c r="AI79" i="9"/>
  <c r="T69" i="9"/>
  <c r="AF117" i="9"/>
  <c r="AK123" i="9"/>
  <c r="AF123" i="9"/>
  <c r="U64" i="9"/>
  <c r="W64" i="9" s="1"/>
  <c r="AF55" i="9"/>
  <c r="AK55" i="9"/>
  <c r="AJ55" i="9"/>
  <c r="T43" i="9"/>
  <c r="T72" i="9"/>
  <c r="AE38" i="9"/>
  <c r="AI38" i="9"/>
  <c r="AG38" i="9"/>
  <c r="AF65" i="9"/>
  <c r="AK52" i="9"/>
  <c r="AJ52" i="9"/>
  <c r="AF52" i="9"/>
  <c r="T80" i="9"/>
  <c r="T70" i="9"/>
  <c r="AJ112" i="7"/>
  <c r="AE84" i="7"/>
  <c r="AG84" i="7"/>
  <c r="AK112" i="7"/>
  <c r="AK68" i="7"/>
  <c r="AI72" i="7"/>
  <c r="Z78" i="7"/>
  <c r="AD49" i="8"/>
  <c r="AO49" i="8" s="1"/>
  <c r="AF96" i="8"/>
  <c r="T31" i="8"/>
  <c r="AE75" i="8"/>
  <c r="U34" i="8"/>
  <c r="AE47" i="8"/>
  <c r="U38" i="8"/>
  <c r="U68" i="8"/>
  <c r="T120" i="8"/>
  <c r="AE73" i="8"/>
  <c r="AE124" i="8"/>
  <c r="T93" i="8"/>
  <c r="T51" i="8"/>
  <c r="AF33" i="8"/>
  <c r="U121" i="8"/>
  <c r="AF67" i="8"/>
  <c r="AE87" i="8"/>
  <c r="AF118" i="8"/>
  <c r="AE44" i="8"/>
  <c r="AE118" i="8"/>
  <c r="AF115" i="8"/>
  <c r="AE26" i="8"/>
  <c r="T75" i="8"/>
  <c r="AE40" i="8"/>
  <c r="U65" i="8"/>
  <c r="T110" i="8"/>
  <c r="U105" i="8"/>
  <c r="AF51" i="8"/>
  <c r="T122" i="8"/>
  <c r="U26" i="8"/>
  <c r="U32" i="8"/>
  <c r="T33" i="8"/>
  <c r="AE110" i="8"/>
  <c r="T106" i="8"/>
  <c r="AF56" i="8"/>
  <c r="AJ56" i="8"/>
  <c r="AK56" i="8"/>
  <c r="T77" i="8"/>
  <c r="AE48" i="8"/>
  <c r="AF120" i="8"/>
  <c r="T73" i="8"/>
  <c r="T89" i="8"/>
  <c r="AD100" i="8"/>
  <c r="AO100" i="8" s="1"/>
  <c r="AC100" i="8"/>
  <c r="T90" i="8"/>
  <c r="AF123" i="8"/>
  <c r="AE103" i="8"/>
  <c r="AE83" i="8"/>
  <c r="T81" i="8"/>
  <c r="T91" i="8"/>
  <c r="U42" i="8"/>
  <c r="U61" i="8"/>
  <c r="AE81" i="8"/>
  <c r="AF27" i="8"/>
  <c r="AF111" i="8"/>
  <c r="Z62" i="8"/>
  <c r="AA62" i="8" s="1"/>
  <c r="AB62" i="8" s="1"/>
  <c r="AP62" i="8" s="1"/>
  <c r="U28" i="8"/>
  <c r="AE107" i="8"/>
  <c r="T80" i="8"/>
  <c r="T67" i="8"/>
  <c r="AF70" i="8"/>
  <c r="T39" i="8"/>
  <c r="AG57" i="8"/>
  <c r="AE57" i="8"/>
  <c r="AF59" i="8"/>
  <c r="T83" i="8"/>
  <c r="AF107" i="8"/>
  <c r="AE59" i="8"/>
  <c r="U99" i="8"/>
  <c r="AF99" i="8"/>
  <c r="T109" i="8"/>
  <c r="U86" i="8"/>
  <c r="T71" i="8"/>
  <c r="AF62" i="8"/>
  <c r="AK62" i="8"/>
  <c r="AI41" i="8"/>
  <c r="AE41" i="8"/>
  <c r="AF113" i="8"/>
  <c r="AF49" i="8"/>
  <c r="AK49" i="8"/>
  <c r="U113" i="8"/>
  <c r="AG54" i="8"/>
  <c r="AE54" i="8"/>
  <c r="AD62" i="8"/>
  <c r="AO62" i="8" s="1"/>
  <c r="AC62" i="8"/>
  <c r="U30" i="8"/>
  <c r="AE70" i="8"/>
  <c r="T43" i="8"/>
  <c r="AE37" i="8"/>
  <c r="AE36" i="8"/>
  <c r="AF57" i="8"/>
  <c r="AJ57" i="8"/>
  <c r="AK57" i="8"/>
  <c r="AE115" i="8"/>
  <c r="AE96" i="8"/>
  <c r="U115" i="8"/>
  <c r="T117" i="8"/>
  <c r="AE101" i="8"/>
  <c r="AE105" i="8"/>
  <c r="T69" i="8"/>
  <c r="AK100" i="8"/>
  <c r="T119" i="8"/>
  <c r="T114" i="8"/>
  <c r="AF78" i="8"/>
  <c r="U76" i="8"/>
  <c r="AE62" i="8"/>
  <c r="AI62" i="8"/>
  <c r="AF106" i="8"/>
  <c r="AF48" i="8"/>
  <c r="T47" i="8"/>
  <c r="AE46" i="8"/>
  <c r="AJ100" i="8"/>
  <c r="T125" i="8"/>
  <c r="U123" i="8"/>
  <c r="T92" i="8"/>
  <c r="AF103" i="8"/>
  <c r="T98" i="8"/>
  <c r="T112" i="8"/>
  <c r="T102" i="8"/>
  <c r="U116" i="8"/>
  <c r="AE97" i="8"/>
  <c r="U84" i="8"/>
  <c r="AF82" i="8"/>
  <c r="AE50" i="8"/>
  <c r="AE106" i="8"/>
  <c r="AE77" i="8"/>
  <c r="T53" i="8"/>
  <c r="U37" i="8"/>
  <c r="AF58" i="8"/>
  <c r="AJ58" i="8"/>
  <c r="AK58" i="8"/>
  <c r="U40" i="8"/>
  <c r="AE65" i="8"/>
  <c r="AI57" i="8"/>
  <c r="AF28" i="8"/>
  <c r="AE30" i="8"/>
  <c r="AF46" i="8"/>
  <c r="AF34" i="8"/>
  <c r="AG55" i="8"/>
  <c r="AE55" i="8"/>
  <c r="AE93" i="8"/>
  <c r="T85" i="8"/>
  <c r="AF31" i="8"/>
  <c r="T79" i="8"/>
  <c r="AE108" i="8"/>
  <c r="AI108" i="8"/>
  <c r="AG108" i="8"/>
  <c r="AF105" i="8"/>
  <c r="T94" i="8"/>
  <c r="AE86" i="8"/>
  <c r="AG41" i="8"/>
  <c r="AE113" i="8"/>
  <c r="AE49" i="8"/>
  <c r="AF54" i="8"/>
  <c r="AJ54" i="8"/>
  <c r="AK54" i="8"/>
  <c r="AG58" i="8"/>
  <c r="AE58" i="8"/>
  <c r="AF63" i="8"/>
  <c r="AF36" i="8"/>
  <c r="AE34" i="8"/>
  <c r="T118" i="8"/>
  <c r="T124" i="8"/>
  <c r="AF72" i="8"/>
  <c r="U63" i="8"/>
  <c r="AK82" i="8"/>
  <c r="AE69" i="8"/>
  <c r="AF122" i="8"/>
  <c r="U48" i="8"/>
  <c r="T66" i="8"/>
  <c r="AE52" i="8"/>
  <c r="AK45" i="8"/>
  <c r="AF45" i="8"/>
  <c r="AF90" i="8"/>
  <c r="U36" i="8"/>
  <c r="T29" i="8"/>
  <c r="AE61" i="8"/>
  <c r="U78" i="8"/>
  <c r="AE63" i="8"/>
  <c r="U111" i="8"/>
  <c r="U52" i="8"/>
  <c r="AF30" i="8"/>
  <c r="AE32" i="8"/>
  <c r="AF55" i="8"/>
  <c r="AJ55" i="8"/>
  <c r="AK55" i="8"/>
  <c r="AE38" i="8"/>
  <c r="U59" i="8"/>
  <c r="T60" i="8"/>
  <c r="U44" i="8"/>
  <c r="AF26" i="8"/>
  <c r="AE116" i="8"/>
  <c r="AE123" i="8"/>
  <c r="U46" i="8"/>
  <c r="U50" i="8"/>
  <c r="AE99" i="8"/>
  <c r="AE117" i="8"/>
  <c r="AG100" i="8"/>
  <c r="AE100" i="8"/>
  <c r="AI100" i="8"/>
  <c r="AE121" i="8"/>
  <c r="U107" i="8"/>
  <c r="T101" i="8"/>
  <c r="U95" i="8"/>
  <c r="T104" i="8"/>
  <c r="U70" i="8"/>
  <c r="AJ49" i="8"/>
  <c r="U97" i="8"/>
  <c r="T87" i="8"/>
  <c r="AE122" i="8"/>
  <c r="U96" i="8"/>
  <c r="U74" i="8"/>
  <c r="AE76" i="8"/>
  <c r="T27" i="8"/>
  <c r="T64" i="8"/>
  <c r="T88" i="8"/>
  <c r="AG56" i="8"/>
  <c r="AE56" i="8"/>
  <c r="T35" i="8"/>
  <c r="AF32" i="8"/>
  <c r="AF40" i="8"/>
  <c r="AF38" i="8"/>
  <c r="AE124" i="7"/>
  <c r="AI80" i="7"/>
  <c r="AE80" i="7"/>
  <c r="T49" i="7"/>
  <c r="AF39" i="7"/>
  <c r="AE106" i="7"/>
  <c r="AF71" i="7"/>
  <c r="AF94" i="7"/>
  <c r="T56" i="7"/>
  <c r="U56" i="7" s="1"/>
  <c r="AE104" i="7"/>
  <c r="T95" i="7"/>
  <c r="AE123" i="7"/>
  <c r="AF91" i="7"/>
  <c r="T96" i="7"/>
  <c r="U81" i="7"/>
  <c r="W81" i="7" s="1"/>
  <c r="AJ81" i="7" s="1"/>
  <c r="AC82" i="7"/>
  <c r="AI82" i="7"/>
  <c r="AD82" i="7"/>
  <c r="AO82" i="7" s="1"/>
  <c r="T63" i="7"/>
  <c r="AD68" i="7"/>
  <c r="AO68" i="7" s="1"/>
  <c r="AC68" i="7"/>
  <c r="AF78" i="7"/>
  <c r="AK78" i="7"/>
  <c r="U104" i="7"/>
  <c r="W104" i="7" s="1"/>
  <c r="AK104" i="7" s="1"/>
  <c r="T44" i="7"/>
  <c r="AF62" i="7"/>
  <c r="AE101" i="7"/>
  <c r="T34" i="7"/>
  <c r="AE35" i="7"/>
  <c r="AE105" i="7"/>
  <c r="AE103" i="7"/>
  <c r="AF103" i="7"/>
  <c r="U103" i="7"/>
  <c r="W103" i="7" s="1"/>
  <c r="AI103" i="7" s="1"/>
  <c r="AF123" i="7"/>
  <c r="AE114" i="7"/>
  <c r="AF92" i="7"/>
  <c r="T102" i="7"/>
  <c r="U116" i="7"/>
  <c r="W116" i="7" s="1"/>
  <c r="AG116" i="7" s="1"/>
  <c r="U113" i="7"/>
  <c r="W113" i="7" s="1"/>
  <c r="AI113" i="7" s="1"/>
  <c r="AF60" i="7"/>
  <c r="AE78" i="7"/>
  <c r="AI78" i="7"/>
  <c r="AC80" i="7"/>
  <c r="AD80" i="7"/>
  <c r="AO80" i="7" s="1"/>
  <c r="T65" i="7"/>
  <c r="AF72" i="7"/>
  <c r="AJ72" i="7"/>
  <c r="AE83" i="7"/>
  <c r="T61" i="7"/>
  <c r="AJ56" i="7"/>
  <c r="W39" i="7"/>
  <c r="AJ39" i="7" s="1"/>
  <c r="U32" i="7"/>
  <c r="W32" i="7" s="1"/>
  <c r="AI32" i="7" s="1"/>
  <c r="T46" i="7"/>
  <c r="T26" i="7"/>
  <c r="U35" i="7"/>
  <c r="W35" i="7" s="1"/>
  <c r="AJ35" i="7" s="1"/>
  <c r="U38" i="7"/>
  <c r="W38" i="7" s="1"/>
  <c r="AI38" i="7" s="1"/>
  <c r="T27" i="7"/>
  <c r="AF35" i="7"/>
  <c r="AE32" i="7"/>
  <c r="AE98" i="7"/>
  <c r="U77" i="7"/>
  <c r="W77" i="7" s="1"/>
  <c r="AK77" i="7" s="1"/>
  <c r="T69" i="7"/>
  <c r="AE94" i="7"/>
  <c r="AF44" i="7"/>
  <c r="AF111" i="7"/>
  <c r="AF115" i="7"/>
  <c r="T88" i="7"/>
  <c r="U124" i="7"/>
  <c r="W124" i="7" s="1"/>
  <c r="AI124" i="7" s="1"/>
  <c r="AF81" i="7"/>
  <c r="AE62" i="7"/>
  <c r="T64" i="7"/>
  <c r="T41" i="7"/>
  <c r="AC55" i="7"/>
  <c r="T87" i="7"/>
  <c r="U117" i="7"/>
  <c r="W117" i="7" s="1"/>
  <c r="AK118" i="7"/>
  <c r="AE111" i="7"/>
  <c r="U106" i="7"/>
  <c r="W106" i="7" s="1"/>
  <c r="AI106" i="7" s="1"/>
  <c r="AG80" i="7"/>
  <c r="U74" i="7"/>
  <c r="W74" i="7" s="1"/>
  <c r="AI74" i="7" s="1"/>
  <c r="T67" i="7"/>
  <c r="U105" i="7"/>
  <c r="W105" i="7" s="1"/>
  <c r="U75" i="7"/>
  <c r="W75" i="7" s="1"/>
  <c r="AF83" i="7"/>
  <c r="AE34" i="7"/>
  <c r="T36" i="7"/>
  <c r="U50" i="7"/>
  <c r="W50" i="7" s="1"/>
  <c r="AG50" i="7" s="1"/>
  <c r="AE58" i="7"/>
  <c r="AI58" i="7"/>
  <c r="U109" i="7"/>
  <c r="W109" i="7" s="1"/>
  <c r="AI109" i="7" s="1"/>
  <c r="AE115" i="7"/>
  <c r="AE68" i="7"/>
  <c r="AG68" i="7"/>
  <c r="AF88" i="7"/>
  <c r="AJ118" i="7"/>
  <c r="T48" i="7"/>
  <c r="T47" i="7"/>
  <c r="AE51" i="7"/>
  <c r="T37" i="7"/>
  <c r="T89" i="7"/>
  <c r="U122" i="7"/>
  <c r="W122" i="7" s="1"/>
  <c r="AJ122" i="7" s="1"/>
  <c r="AF67" i="7"/>
  <c r="AE43" i="7"/>
  <c r="AE27" i="7"/>
  <c r="AE113" i="7"/>
  <c r="AE119" i="7"/>
  <c r="T101" i="7"/>
  <c r="U111" i="7"/>
  <c r="W111" i="7" s="1"/>
  <c r="AJ111" i="7" s="1"/>
  <c r="T90" i="7"/>
  <c r="AE122" i="7"/>
  <c r="T99" i="7"/>
  <c r="U85" i="7"/>
  <c r="W85" i="7" s="1"/>
  <c r="T86" i="7"/>
  <c r="AG72" i="7"/>
  <c r="AE74" i="7"/>
  <c r="U79" i="7"/>
  <c r="W79" i="7" s="1"/>
  <c r="AK79" i="7" s="1"/>
  <c r="AG73" i="7"/>
  <c r="AI73" i="7"/>
  <c r="AE73" i="7"/>
  <c r="U71" i="7"/>
  <c r="W71" i="7" s="1"/>
  <c r="AK71" i="7" s="1"/>
  <c r="T62" i="7"/>
  <c r="AE70" i="7"/>
  <c r="T43" i="7"/>
  <c r="AE66" i="7"/>
  <c r="AE77" i="7"/>
  <c r="AF100" i="7"/>
  <c r="T54" i="7"/>
  <c r="U54" i="7" s="1"/>
  <c r="U33" i="7"/>
  <c r="W33" i="7" s="1"/>
  <c r="AG33" i="7" s="1"/>
  <c r="AE53" i="7"/>
  <c r="T57" i="7"/>
  <c r="U57" i="7" s="1"/>
  <c r="AE26" i="7"/>
  <c r="AF58" i="7"/>
  <c r="AJ58" i="7"/>
  <c r="U115" i="7"/>
  <c r="W115" i="7" s="1"/>
  <c r="AE71" i="7"/>
  <c r="AE65" i="7"/>
  <c r="T30" i="7"/>
  <c r="AE33" i="7"/>
  <c r="U123" i="7"/>
  <c r="W123" i="7" s="1"/>
  <c r="AJ123" i="7" s="1"/>
  <c r="AC118" i="7"/>
  <c r="AD118" i="7"/>
  <c r="AO118" i="7" s="1"/>
  <c r="AJ82" i="7"/>
  <c r="AF82" i="7"/>
  <c r="AK82" i="7"/>
  <c r="U60" i="7"/>
  <c r="W60" i="7" s="1"/>
  <c r="AK60" i="7" s="1"/>
  <c r="U29" i="7"/>
  <c r="W29" i="7" s="1"/>
  <c r="AE117" i="7"/>
  <c r="T42" i="7"/>
  <c r="AE41" i="7"/>
  <c r="U31" i="7"/>
  <c r="W31" i="7" s="1"/>
  <c r="AE55" i="7"/>
  <c r="AI55" i="7"/>
  <c r="AG55" i="7"/>
  <c r="AF48" i="7"/>
  <c r="T28" i="7"/>
  <c r="U121" i="7"/>
  <c r="W121" i="7" s="1"/>
  <c r="AI121" i="7" s="1"/>
  <c r="U114" i="7"/>
  <c r="W114" i="7" s="1"/>
  <c r="AI114" i="7" s="1"/>
  <c r="AE38" i="7"/>
  <c r="AE49" i="7"/>
  <c r="AI118" i="7"/>
  <c r="AE118" i="7"/>
  <c r="U83" i="7"/>
  <c r="W83" i="7" s="1"/>
  <c r="AJ83" i="7" s="1"/>
  <c r="AF79" i="7"/>
  <c r="AF101" i="7"/>
  <c r="AE44" i="7"/>
  <c r="AG118" i="7"/>
  <c r="U125" i="7"/>
  <c r="W125" i="7" s="1"/>
  <c r="AI112" i="7"/>
  <c r="AE112" i="7"/>
  <c r="AE108" i="7"/>
  <c r="AE120" i="7"/>
  <c r="AE107" i="7"/>
  <c r="T93" i="7"/>
  <c r="T97" i="7"/>
  <c r="T53" i="7"/>
  <c r="AI59" i="7"/>
  <c r="AF77" i="7"/>
  <c r="T45" i="7"/>
  <c r="AE121" i="7"/>
  <c r="AE110" i="7"/>
  <c r="AE116" i="7"/>
  <c r="U107" i="7"/>
  <c r="W107" i="7" s="1"/>
  <c r="AI107" i="7" s="1"/>
  <c r="AF119" i="7"/>
  <c r="U119" i="7"/>
  <c r="W119" i="7" s="1"/>
  <c r="AI119" i="7" s="1"/>
  <c r="AE109" i="7"/>
  <c r="AF107" i="7"/>
  <c r="T100" i="7"/>
  <c r="T94" i="7"/>
  <c r="T91" i="7"/>
  <c r="T98" i="7"/>
  <c r="T92" i="7"/>
  <c r="AJ78" i="7"/>
  <c r="AD72" i="7"/>
  <c r="AO72" i="7" s="1"/>
  <c r="AC72" i="7"/>
  <c r="T51" i="7"/>
  <c r="AI68" i="7"/>
  <c r="AG59" i="7"/>
  <c r="U70" i="7"/>
  <c r="W70" i="7" s="1"/>
  <c r="AK70" i="7" s="1"/>
  <c r="AE63" i="7"/>
  <c r="U108" i="7"/>
  <c r="W108" i="7" s="1"/>
  <c r="AI108" i="7" s="1"/>
  <c r="AE67" i="7"/>
  <c r="T52" i="7"/>
  <c r="U66" i="7"/>
  <c r="W66" i="7" s="1"/>
  <c r="AG66" i="7" s="1"/>
  <c r="AF55" i="7"/>
  <c r="AK55" i="7"/>
  <c r="AJ55" i="7"/>
  <c r="T40" i="7"/>
  <c r="AE39" i="7"/>
  <c r="Z40" i="8" l="1"/>
  <c r="AA40" i="8" s="1"/>
  <c r="AB40" i="8" s="1"/>
  <c r="AP40" i="8" s="1"/>
  <c r="AG40" i="8"/>
  <c r="AG48" i="8"/>
  <c r="AI70" i="8"/>
  <c r="AJ123" i="8"/>
  <c r="AG45" i="8"/>
  <c r="AJ36" i="8"/>
  <c r="AD65" i="8"/>
  <c r="AO65" i="8" s="1"/>
  <c r="AI45" i="8"/>
  <c r="AI115" i="8"/>
  <c r="AD86" i="8"/>
  <c r="AO86" i="8" s="1"/>
  <c r="AG99" i="8"/>
  <c r="AI34" i="8"/>
  <c r="AG59" i="8"/>
  <c r="AC46" i="8"/>
  <c r="AK78" i="8"/>
  <c r="AK105" i="8"/>
  <c r="AG44" i="8"/>
  <c r="AG96" i="8"/>
  <c r="AC52" i="8"/>
  <c r="AC63" i="8"/>
  <c r="AC32" i="8"/>
  <c r="AC38" i="8"/>
  <c r="AG107" i="8"/>
  <c r="AD50" i="8"/>
  <c r="AO50" i="8" s="1"/>
  <c r="AC111" i="8"/>
  <c r="AG30" i="8"/>
  <c r="AK26" i="8"/>
  <c r="AI49" i="8"/>
  <c r="AD72" i="8"/>
  <c r="AO72" i="8" s="1"/>
  <c r="AG49" i="8"/>
  <c r="AC49" i="8"/>
  <c r="Z107" i="8"/>
  <c r="AA107" i="8" s="1"/>
  <c r="AB107" i="8" s="1"/>
  <c r="AP107" i="8" s="1"/>
  <c r="AI99" i="8"/>
  <c r="AC103" i="8"/>
  <c r="AI103" i="8"/>
  <c r="AK103" i="8"/>
  <c r="AD103" i="8"/>
  <c r="AO103" i="8" s="1"/>
  <c r="AC72" i="8"/>
  <c r="AG103" i="8"/>
  <c r="AK72" i="8"/>
  <c r="Z86" i="8"/>
  <c r="AA86" i="8" s="1"/>
  <c r="AB86" i="8" s="1"/>
  <c r="AP86" i="8" s="1"/>
  <c r="Z37" i="8"/>
  <c r="AA37" i="8" s="1"/>
  <c r="AB37" i="8" s="1"/>
  <c r="AP37" i="8" s="1"/>
  <c r="Z116" i="8"/>
  <c r="AA116" i="8" s="1"/>
  <c r="AB116" i="8" s="1"/>
  <c r="AP116" i="8" s="1"/>
  <c r="AJ72" i="8"/>
  <c r="AI72" i="8"/>
  <c r="AG124" i="7"/>
  <c r="AC120" i="7"/>
  <c r="AG120" i="7"/>
  <c r="AK120" i="7"/>
  <c r="AI120" i="7"/>
  <c r="AJ120" i="7"/>
  <c r="AK38" i="7"/>
  <c r="AJ110" i="7"/>
  <c r="AD110" i="7"/>
  <c r="AO110" i="7" s="1"/>
  <c r="AC110" i="7"/>
  <c r="AJ38" i="7"/>
  <c r="AI110" i="7"/>
  <c r="AK110" i="7"/>
  <c r="AJ107" i="7"/>
  <c r="AJ104" i="7"/>
  <c r="Z109" i="7"/>
  <c r="AA109" i="7" s="1"/>
  <c r="AB109" i="7" s="1"/>
  <c r="AP109" i="7" s="1"/>
  <c r="AI123" i="7"/>
  <c r="Z115" i="7"/>
  <c r="AA115" i="7" s="1"/>
  <c r="AB115" i="7" s="1"/>
  <c r="AP115" i="7" s="1"/>
  <c r="AJ79" i="7"/>
  <c r="Z38" i="7"/>
  <c r="AA38" i="7" s="1"/>
  <c r="AB38" i="7" s="1"/>
  <c r="AP38" i="7" s="1"/>
  <c r="AA78" i="7"/>
  <c r="AB78" i="7" s="1"/>
  <c r="AP78" i="7" s="1"/>
  <c r="AM78" i="7"/>
  <c r="Z79" i="7"/>
  <c r="AA72" i="7"/>
  <c r="AB72" i="7" s="1"/>
  <c r="AP72" i="7" s="1"/>
  <c r="AM72" i="7"/>
  <c r="Z121" i="7"/>
  <c r="Z116" i="7"/>
  <c r="AA82" i="7"/>
  <c r="AB82" i="7" s="1"/>
  <c r="AP82" i="7" s="1"/>
  <c r="AM82" i="7"/>
  <c r="AJ66" i="7"/>
  <c r="AK114" i="7"/>
  <c r="AJ106" i="7"/>
  <c r="Z123" i="7"/>
  <c r="Z113" i="7"/>
  <c r="Z50" i="7"/>
  <c r="AI104" i="7"/>
  <c r="Z70" i="7"/>
  <c r="AG123" i="7"/>
  <c r="AG123" i="9"/>
  <c r="AK99" i="9"/>
  <c r="AD34" i="9"/>
  <c r="AO34" i="9" s="1"/>
  <c r="AG99" i="9"/>
  <c r="AI34" i="9"/>
  <c r="AC34" i="9"/>
  <c r="AA64" i="9"/>
  <c r="AB64" i="9" s="1"/>
  <c r="AP64" i="9" s="1"/>
  <c r="AK35" i="9"/>
  <c r="AA111" i="9"/>
  <c r="AB111" i="9" s="1"/>
  <c r="AP111" i="9" s="1"/>
  <c r="AA83" i="9"/>
  <c r="AB83" i="9" s="1"/>
  <c r="AP83" i="9" s="1"/>
  <c r="AA102" i="9"/>
  <c r="AB102" i="9" s="1"/>
  <c r="AP102" i="9" s="1"/>
  <c r="AJ34" i="9"/>
  <c r="AI101" i="9"/>
  <c r="AK34" i="9"/>
  <c r="AJ123" i="9"/>
  <c r="AA101" i="9"/>
  <c r="AB101" i="9" s="1"/>
  <c r="AP101" i="9" s="1"/>
  <c r="AA114" i="9"/>
  <c r="AB114" i="9" s="1"/>
  <c r="AP114" i="9" s="1"/>
  <c r="AD26" i="9"/>
  <c r="AO26" i="9" s="1"/>
  <c r="AC26" i="9"/>
  <c r="AJ26" i="9"/>
  <c r="AD87" i="9"/>
  <c r="AO87" i="9" s="1"/>
  <c r="AC87" i="9"/>
  <c r="AI87" i="9"/>
  <c r="AK87" i="9"/>
  <c r="AJ87" i="9"/>
  <c r="AG87" i="9"/>
  <c r="U82" i="9"/>
  <c r="W82" i="9" s="1"/>
  <c r="AA82" i="9"/>
  <c r="AB82" i="9" s="1"/>
  <c r="AP82" i="9" s="1"/>
  <c r="U78" i="9"/>
  <c r="W78" i="9" s="1"/>
  <c r="U53" i="9"/>
  <c r="W53" i="9" s="1"/>
  <c r="U81" i="9"/>
  <c r="W81" i="9" s="1"/>
  <c r="AD85" i="9"/>
  <c r="AO85" i="9" s="1"/>
  <c r="AC85" i="9"/>
  <c r="AG85" i="9"/>
  <c r="AI85" i="9"/>
  <c r="AC115" i="9"/>
  <c r="AD115" i="9"/>
  <c r="AO115" i="9" s="1"/>
  <c r="AG115" i="9"/>
  <c r="AI115" i="9"/>
  <c r="AJ115" i="9"/>
  <c r="AK115" i="9"/>
  <c r="AI106" i="9"/>
  <c r="AA116" i="9"/>
  <c r="AB116" i="9" s="1"/>
  <c r="AP116" i="9" s="1"/>
  <c r="U116" i="9"/>
  <c r="W116" i="9" s="1"/>
  <c r="U31" i="9"/>
  <c r="W31" i="9" s="1"/>
  <c r="AC103" i="9"/>
  <c r="AD103" i="9"/>
  <c r="AO103" i="9" s="1"/>
  <c r="AI103" i="9"/>
  <c r="AJ103" i="9"/>
  <c r="AK103" i="9"/>
  <c r="AG103" i="9"/>
  <c r="U68" i="9"/>
  <c r="W68" i="9" s="1"/>
  <c r="AA95" i="9"/>
  <c r="AB95" i="9" s="1"/>
  <c r="AP95" i="9" s="1"/>
  <c r="U33" i="9"/>
  <c r="W33" i="9" s="1"/>
  <c r="AA33" i="9"/>
  <c r="AB33" i="9" s="1"/>
  <c r="AP33" i="9" s="1"/>
  <c r="AJ119" i="9"/>
  <c r="AA115" i="9"/>
  <c r="AB115" i="9" s="1"/>
  <c r="AP115" i="9" s="1"/>
  <c r="AI113" i="9"/>
  <c r="AI119" i="9"/>
  <c r="AJ85" i="9"/>
  <c r="AD114" i="9"/>
  <c r="AO114" i="9" s="1"/>
  <c r="AC114" i="9"/>
  <c r="AI114" i="9"/>
  <c r="AK114" i="9"/>
  <c r="AG114" i="9"/>
  <c r="AD90" i="9"/>
  <c r="AO90" i="9" s="1"/>
  <c r="AC90" i="9"/>
  <c r="AK90" i="9"/>
  <c r="AI90" i="9"/>
  <c r="AJ90" i="9"/>
  <c r="AG90" i="9"/>
  <c r="U60" i="9"/>
  <c r="W60" i="9" s="1"/>
  <c r="AA41" i="9"/>
  <c r="AB41" i="9" s="1"/>
  <c r="AP41" i="9" s="1"/>
  <c r="U41" i="9"/>
  <c r="W41" i="9" s="1"/>
  <c r="U74" i="9"/>
  <c r="W74" i="9" s="1"/>
  <c r="AA94" i="9"/>
  <c r="AB94" i="9" s="1"/>
  <c r="AP94" i="9" s="1"/>
  <c r="AI66" i="9"/>
  <c r="AD95" i="9"/>
  <c r="AO95" i="9" s="1"/>
  <c r="AC95" i="9"/>
  <c r="AJ95" i="9"/>
  <c r="AI95" i="9"/>
  <c r="AK95" i="9"/>
  <c r="AG95" i="9"/>
  <c r="U96" i="9"/>
  <c r="W96" i="9" s="1"/>
  <c r="AC102" i="9"/>
  <c r="AD102" i="9"/>
  <c r="AO102" i="9" s="1"/>
  <c r="AK102" i="9"/>
  <c r="AJ102" i="9"/>
  <c r="AG119" i="9"/>
  <c r="AD117" i="9"/>
  <c r="AO117" i="9" s="1"/>
  <c r="AC117" i="9"/>
  <c r="AA85" i="9"/>
  <c r="AB85" i="9" s="1"/>
  <c r="AP85" i="9" s="1"/>
  <c r="AC64" i="9"/>
  <c r="AD64" i="9"/>
  <c r="AO64" i="9" s="1"/>
  <c r="AJ64" i="9"/>
  <c r="AI64" i="9"/>
  <c r="AG64" i="9"/>
  <c r="AK117" i="9"/>
  <c r="U124" i="9"/>
  <c r="W124" i="9" s="1"/>
  <c r="AD121" i="9"/>
  <c r="AO121" i="9" s="1"/>
  <c r="AC121" i="9"/>
  <c r="AG117" i="9"/>
  <c r="AA106" i="9"/>
  <c r="AB106" i="9" s="1"/>
  <c r="AP106" i="9" s="1"/>
  <c r="AA123" i="9"/>
  <c r="AB123" i="9" s="1"/>
  <c r="AP123" i="9" s="1"/>
  <c r="AJ107" i="9"/>
  <c r="AA103" i="9"/>
  <c r="AB103" i="9" s="1"/>
  <c r="AP103" i="9" s="1"/>
  <c r="U65" i="9"/>
  <c r="W65" i="9" s="1"/>
  <c r="AK64" i="9"/>
  <c r="U122" i="9"/>
  <c r="W122" i="9" s="1"/>
  <c r="AC101" i="9"/>
  <c r="AD101" i="9"/>
  <c r="AO101" i="9" s="1"/>
  <c r="AG125" i="9"/>
  <c r="AD83" i="9"/>
  <c r="AO83" i="9" s="1"/>
  <c r="AC83" i="9"/>
  <c r="AI83" i="9"/>
  <c r="AG83" i="9"/>
  <c r="AK83" i="9"/>
  <c r="AJ83" i="9"/>
  <c r="AJ113" i="9"/>
  <c r="AD93" i="9"/>
  <c r="AO93" i="9" s="1"/>
  <c r="AC93" i="9"/>
  <c r="AJ93" i="9"/>
  <c r="AK93" i="9"/>
  <c r="AC105" i="9"/>
  <c r="AD105" i="9"/>
  <c r="AO105" i="9" s="1"/>
  <c r="AJ105" i="9"/>
  <c r="AK105" i="9"/>
  <c r="U47" i="9"/>
  <c r="W47" i="9" s="1"/>
  <c r="AG93" i="9"/>
  <c r="U67" i="9"/>
  <c r="W67" i="9" s="1"/>
  <c r="AD66" i="9"/>
  <c r="AO66" i="9" s="1"/>
  <c r="AC66" i="9"/>
  <c r="AJ66" i="9"/>
  <c r="AK66" i="9"/>
  <c r="U80" i="9"/>
  <c r="W80" i="9" s="1"/>
  <c r="AA90" i="9"/>
  <c r="AB90" i="9" s="1"/>
  <c r="AP90" i="9" s="1"/>
  <c r="U76" i="9"/>
  <c r="W76" i="9" s="1"/>
  <c r="U49" i="9"/>
  <c r="W49" i="9" s="1"/>
  <c r="U84" i="9"/>
  <c r="W84" i="9" s="1"/>
  <c r="U70" i="9"/>
  <c r="W70" i="9" s="1"/>
  <c r="U72" i="9"/>
  <c r="W72" i="9" s="1"/>
  <c r="U69" i="9"/>
  <c r="W69" i="9" s="1"/>
  <c r="AC77" i="9"/>
  <c r="AD77" i="9"/>
  <c r="AO77" i="9" s="1"/>
  <c r="AK77" i="9"/>
  <c r="AG77" i="9"/>
  <c r="AI77" i="9"/>
  <c r="AJ77" i="9"/>
  <c r="AI117" i="9"/>
  <c r="AD106" i="9"/>
  <c r="AO106" i="9" s="1"/>
  <c r="AC106" i="9"/>
  <c r="AD123" i="9"/>
  <c r="AO123" i="9" s="1"/>
  <c r="AC123" i="9"/>
  <c r="U73" i="9"/>
  <c r="W73" i="9" s="1"/>
  <c r="U118" i="9"/>
  <c r="W118" i="9" s="1"/>
  <c r="U112" i="9"/>
  <c r="W112" i="9" s="1"/>
  <c r="AD62" i="9"/>
  <c r="AO62" i="9" s="1"/>
  <c r="AC62" i="9"/>
  <c r="AJ62" i="9"/>
  <c r="AI62" i="9"/>
  <c r="AK62" i="9"/>
  <c r="U108" i="9"/>
  <c r="W108" i="9" s="1"/>
  <c r="AG121" i="9"/>
  <c r="U63" i="9"/>
  <c r="W63" i="9" s="1"/>
  <c r="U29" i="9"/>
  <c r="W29" i="9" s="1"/>
  <c r="AD119" i="9"/>
  <c r="AO119" i="9" s="1"/>
  <c r="AC119" i="9"/>
  <c r="U110" i="9"/>
  <c r="W110" i="9" s="1"/>
  <c r="AD91" i="9"/>
  <c r="AO91" i="9" s="1"/>
  <c r="AC91" i="9"/>
  <c r="AJ91" i="9"/>
  <c r="AC107" i="9"/>
  <c r="AD107" i="9"/>
  <c r="AO107" i="9" s="1"/>
  <c r="AG107" i="9"/>
  <c r="AI107" i="9"/>
  <c r="AC109" i="9"/>
  <c r="AD109" i="9"/>
  <c r="AO109" i="9" s="1"/>
  <c r="AG109" i="9"/>
  <c r="AJ109" i="9"/>
  <c r="AK109" i="9"/>
  <c r="AI109" i="9"/>
  <c r="AA77" i="9"/>
  <c r="AB77" i="9" s="1"/>
  <c r="AP77" i="9" s="1"/>
  <c r="U39" i="9"/>
  <c r="W39" i="9" s="1"/>
  <c r="AK106" i="9"/>
  <c r="AD125" i="9"/>
  <c r="AO125" i="9" s="1"/>
  <c r="AC125" i="9"/>
  <c r="AK125" i="9"/>
  <c r="AJ125" i="9"/>
  <c r="AA99" i="9"/>
  <c r="AB99" i="9" s="1"/>
  <c r="AP99" i="9" s="1"/>
  <c r="AA62" i="9"/>
  <c r="AB62" i="9" s="1"/>
  <c r="AP62" i="9" s="1"/>
  <c r="AJ121" i="9"/>
  <c r="U75" i="9"/>
  <c r="W75" i="9" s="1"/>
  <c r="AA113" i="9"/>
  <c r="AB113" i="9" s="1"/>
  <c r="AP113" i="9" s="1"/>
  <c r="U45" i="9"/>
  <c r="W45" i="9" s="1"/>
  <c r="AI121" i="9"/>
  <c r="AK85" i="9"/>
  <c r="AC94" i="9"/>
  <c r="AD94" i="9"/>
  <c r="AO94" i="9" s="1"/>
  <c r="AK94" i="9"/>
  <c r="AJ94" i="9"/>
  <c r="AI94" i="9"/>
  <c r="AG94" i="9"/>
  <c r="U51" i="9"/>
  <c r="W51" i="9" s="1"/>
  <c r="AK91" i="9"/>
  <c r="U43" i="9"/>
  <c r="W43" i="9" s="1"/>
  <c r="AA109" i="9"/>
  <c r="AB109" i="9" s="1"/>
  <c r="AP109" i="9" s="1"/>
  <c r="U71" i="9"/>
  <c r="W71" i="9" s="1"/>
  <c r="AA71" i="9"/>
  <c r="AB71" i="9" s="1"/>
  <c r="AP71" i="9" s="1"/>
  <c r="AC111" i="9"/>
  <c r="AD111" i="9"/>
  <c r="AO111" i="9" s="1"/>
  <c r="AJ111" i="9"/>
  <c r="AI111" i="9"/>
  <c r="AG111" i="9"/>
  <c r="AK111" i="9"/>
  <c r="AI91" i="9"/>
  <c r="U59" i="9"/>
  <c r="W59" i="9" s="1"/>
  <c r="U120" i="9"/>
  <c r="W120" i="9" s="1"/>
  <c r="AC99" i="9"/>
  <c r="AD99" i="9"/>
  <c r="AO99" i="9" s="1"/>
  <c r="AA119" i="9"/>
  <c r="AB119" i="9" s="1"/>
  <c r="AP119" i="9" s="1"/>
  <c r="AD35" i="9"/>
  <c r="AO35" i="9" s="1"/>
  <c r="AC35" i="9"/>
  <c r="AG35" i="9"/>
  <c r="AI35" i="9"/>
  <c r="AK121" i="9"/>
  <c r="AG91" i="9"/>
  <c r="U61" i="9"/>
  <c r="W61" i="9" s="1"/>
  <c r="AC113" i="9"/>
  <c r="AD113" i="9"/>
  <c r="AO113" i="9" s="1"/>
  <c r="AI99" i="9"/>
  <c r="U92" i="9"/>
  <c r="W92" i="9" s="1"/>
  <c r="AI111" i="7"/>
  <c r="AJ103" i="7"/>
  <c r="AJ119" i="7"/>
  <c r="Z83" i="7"/>
  <c r="Z29" i="7"/>
  <c r="Z122" i="7"/>
  <c r="AI83" i="7"/>
  <c r="Z103" i="7"/>
  <c r="Z111" i="7"/>
  <c r="Z125" i="7"/>
  <c r="AK106" i="7"/>
  <c r="AK111" i="7"/>
  <c r="AJ60" i="7"/>
  <c r="Z119" i="7"/>
  <c r="AK116" i="7"/>
  <c r="AI122" i="7"/>
  <c r="AI116" i="7"/>
  <c r="AK35" i="7"/>
  <c r="Z104" i="7"/>
  <c r="Z111" i="8"/>
  <c r="AA111" i="8" s="1"/>
  <c r="AB111" i="8" s="1"/>
  <c r="AP111" i="8" s="1"/>
  <c r="Z42" i="8"/>
  <c r="AA42" i="8" s="1"/>
  <c r="AB42" i="8" s="1"/>
  <c r="AP42" i="8" s="1"/>
  <c r="Z38" i="8"/>
  <c r="AA38" i="8" s="1"/>
  <c r="AB38" i="8" s="1"/>
  <c r="AP38" i="8" s="1"/>
  <c r="AJ59" i="8"/>
  <c r="Z97" i="8"/>
  <c r="AA97" i="8" s="1"/>
  <c r="AB97" i="8" s="1"/>
  <c r="AP97" i="8" s="1"/>
  <c r="AJ99" i="8"/>
  <c r="AI36" i="8"/>
  <c r="Z48" i="8"/>
  <c r="AA48" i="8" s="1"/>
  <c r="AB48" i="8" s="1"/>
  <c r="AP48" i="8" s="1"/>
  <c r="AI105" i="8"/>
  <c r="AG115" i="8"/>
  <c r="Z96" i="8"/>
  <c r="AA96" i="8" s="1"/>
  <c r="AB96" i="8" s="1"/>
  <c r="AP96" i="8" s="1"/>
  <c r="AI123" i="8"/>
  <c r="AJ34" i="8"/>
  <c r="Z84" i="8"/>
  <c r="AA84" i="8" s="1"/>
  <c r="AB84" i="8" s="1"/>
  <c r="AP84" i="8" s="1"/>
  <c r="AJ48" i="8"/>
  <c r="AI48" i="8"/>
  <c r="Z59" i="8"/>
  <c r="AA59" i="8" s="1"/>
  <c r="AB59" i="8" s="1"/>
  <c r="AP59" i="8" s="1"/>
  <c r="Z63" i="8"/>
  <c r="AA63" i="8" s="1"/>
  <c r="AB63" i="8" s="1"/>
  <c r="AP63" i="8" s="1"/>
  <c r="AG34" i="8"/>
  <c r="Z115" i="8"/>
  <c r="AA115" i="8" s="1"/>
  <c r="AB115" i="8" s="1"/>
  <c r="AP115" i="8" s="1"/>
  <c r="Z32" i="8"/>
  <c r="AA32" i="8" s="1"/>
  <c r="AB32" i="8" s="1"/>
  <c r="AP32" i="8" s="1"/>
  <c r="AJ96" i="8"/>
  <c r="AC74" i="8"/>
  <c r="AD74" i="8"/>
  <c r="AO74" i="8" s="1"/>
  <c r="AK74" i="8"/>
  <c r="AJ74" i="8"/>
  <c r="AG74" i="8"/>
  <c r="AI74" i="8"/>
  <c r="U43" i="8"/>
  <c r="AC28" i="8"/>
  <c r="AD28" i="8"/>
  <c r="AO28" i="8" s="1"/>
  <c r="AI28" i="8"/>
  <c r="AG28" i="8"/>
  <c r="Z74" i="8"/>
  <c r="AA74" i="8" s="1"/>
  <c r="AB74" i="8" s="1"/>
  <c r="AP74" i="8" s="1"/>
  <c r="AD113" i="8"/>
  <c r="AO113" i="8" s="1"/>
  <c r="AC113" i="8"/>
  <c r="AG113" i="8"/>
  <c r="U89" i="8"/>
  <c r="U106" i="8"/>
  <c r="AD68" i="8"/>
  <c r="AO68" i="8" s="1"/>
  <c r="AC68" i="8"/>
  <c r="AK68" i="8"/>
  <c r="AG68" i="8"/>
  <c r="AJ68" i="8"/>
  <c r="AI68" i="8"/>
  <c r="U27" i="8"/>
  <c r="AD97" i="8"/>
  <c r="AO97" i="8" s="1"/>
  <c r="AC97" i="8"/>
  <c r="AK97" i="8"/>
  <c r="AJ97" i="8"/>
  <c r="AG97" i="8"/>
  <c r="Z95" i="8"/>
  <c r="AA95" i="8" s="1"/>
  <c r="AB95" i="8" s="1"/>
  <c r="AP95" i="8" s="1"/>
  <c r="AJ30" i="8"/>
  <c r="U79" i="8"/>
  <c r="AI111" i="8"/>
  <c r="Z76" i="8"/>
  <c r="AA76" i="8" s="1"/>
  <c r="AB76" i="8" s="1"/>
  <c r="AP76" i="8" s="1"/>
  <c r="Z113" i="8"/>
  <c r="AA113" i="8" s="1"/>
  <c r="AB113" i="8" s="1"/>
  <c r="AP113" i="8" s="1"/>
  <c r="AC26" i="8"/>
  <c r="AD26" i="8"/>
  <c r="AO26" i="8" s="1"/>
  <c r="Z105" i="8"/>
  <c r="AA105" i="8" s="1"/>
  <c r="AB105" i="8" s="1"/>
  <c r="AP105" i="8" s="1"/>
  <c r="U75" i="8"/>
  <c r="Z68" i="8"/>
  <c r="AA68" i="8" s="1"/>
  <c r="AB68" i="8" s="1"/>
  <c r="AP68" i="8" s="1"/>
  <c r="U31" i="8"/>
  <c r="U64" i="8"/>
  <c r="AD121" i="8"/>
  <c r="AO121" i="8" s="1"/>
  <c r="AC121" i="8"/>
  <c r="AK121" i="8"/>
  <c r="AG121" i="8"/>
  <c r="AJ121" i="8"/>
  <c r="U118" i="8"/>
  <c r="AD116" i="8"/>
  <c r="AO116" i="8" s="1"/>
  <c r="AC116" i="8"/>
  <c r="AK116" i="8"/>
  <c r="AJ116" i="8"/>
  <c r="AD76" i="8"/>
  <c r="AO76" i="8" s="1"/>
  <c r="AC76" i="8"/>
  <c r="AK76" i="8"/>
  <c r="AJ76" i="8"/>
  <c r="AI76" i="8"/>
  <c r="Z28" i="8"/>
  <c r="AA28" i="8" s="1"/>
  <c r="AB28" i="8" s="1"/>
  <c r="AP28" i="8" s="1"/>
  <c r="Z121" i="8"/>
  <c r="AA121" i="8" s="1"/>
  <c r="AB121" i="8" s="1"/>
  <c r="AP121" i="8" s="1"/>
  <c r="U101" i="8"/>
  <c r="Z44" i="8"/>
  <c r="AA44" i="8" s="1"/>
  <c r="AB44" i="8" s="1"/>
  <c r="AP44" i="8" s="1"/>
  <c r="AK30" i="8"/>
  <c r="U29" i="8"/>
  <c r="AC48" i="8"/>
  <c r="AD48" i="8"/>
  <c r="AO48" i="8" s="1"/>
  <c r="AC82" i="8"/>
  <c r="AD82" i="8"/>
  <c r="AO82" i="8" s="1"/>
  <c r="AI82" i="8"/>
  <c r="AJ82" i="8"/>
  <c r="AG82" i="8"/>
  <c r="AI113" i="8"/>
  <c r="AC84" i="8"/>
  <c r="AD84" i="8"/>
  <c r="AO84" i="8" s="1"/>
  <c r="AK84" i="8"/>
  <c r="AI84" i="8"/>
  <c r="AJ84" i="8"/>
  <c r="AG84" i="8"/>
  <c r="U102" i="8"/>
  <c r="AK48" i="8"/>
  <c r="Z30" i="8"/>
  <c r="AA30" i="8" s="1"/>
  <c r="AB30" i="8" s="1"/>
  <c r="AP30" i="8" s="1"/>
  <c r="U81" i="8"/>
  <c r="Z26" i="8"/>
  <c r="AA26" i="8" s="1"/>
  <c r="AB26" i="8" s="1"/>
  <c r="AP26" i="8" s="1"/>
  <c r="AD38" i="8"/>
  <c r="AO38" i="8" s="1"/>
  <c r="U94" i="8"/>
  <c r="U91" i="8"/>
  <c r="Z46" i="8"/>
  <c r="AA46" i="8" s="1"/>
  <c r="AB46" i="8" s="1"/>
  <c r="AP46" i="8" s="1"/>
  <c r="AC61" i="8"/>
  <c r="AD61" i="8"/>
  <c r="AO61" i="8" s="1"/>
  <c r="AJ61" i="8"/>
  <c r="AK61" i="8"/>
  <c r="U90" i="8"/>
  <c r="U77" i="8"/>
  <c r="U122" i="8"/>
  <c r="U110" i="8"/>
  <c r="AG76" i="8"/>
  <c r="U87" i="8"/>
  <c r="Z70" i="8"/>
  <c r="AA70" i="8" s="1"/>
  <c r="AB70" i="8" s="1"/>
  <c r="AP70" i="8" s="1"/>
  <c r="U60" i="8"/>
  <c r="AK52" i="8"/>
  <c r="AJ52" i="8"/>
  <c r="Z78" i="8"/>
  <c r="AA78" i="8" s="1"/>
  <c r="AB78" i="8" s="1"/>
  <c r="AP78" i="8" s="1"/>
  <c r="AD37" i="8"/>
  <c r="AO37" i="8" s="1"/>
  <c r="AC37" i="8"/>
  <c r="AK37" i="8"/>
  <c r="AJ37" i="8"/>
  <c r="AG37" i="8"/>
  <c r="AI97" i="8"/>
  <c r="U112" i="8"/>
  <c r="U69" i="8"/>
  <c r="AI37" i="8"/>
  <c r="AK113" i="8"/>
  <c r="U71" i="8"/>
  <c r="U39" i="8"/>
  <c r="Z61" i="8"/>
  <c r="AA61" i="8" s="1"/>
  <c r="AB61" i="8" s="1"/>
  <c r="AP61" i="8" s="1"/>
  <c r="AI26" i="8"/>
  <c r="U51" i="8"/>
  <c r="AC34" i="8"/>
  <c r="AD34" i="8"/>
  <c r="AO34" i="8" s="1"/>
  <c r="U125" i="8"/>
  <c r="U119" i="8"/>
  <c r="U66" i="8"/>
  <c r="U67" i="8"/>
  <c r="U117" i="8"/>
  <c r="AC30" i="8"/>
  <c r="AD30" i="8"/>
  <c r="AO30" i="8" s="1"/>
  <c r="U80" i="8"/>
  <c r="U73" i="8"/>
  <c r="U88" i="8"/>
  <c r="AC96" i="8"/>
  <c r="AD96" i="8"/>
  <c r="AO96" i="8" s="1"/>
  <c r="U104" i="8"/>
  <c r="Z50" i="8"/>
  <c r="AA50" i="8" s="1"/>
  <c r="AB50" i="8" s="1"/>
  <c r="AP50" i="8" s="1"/>
  <c r="AG116" i="8"/>
  <c r="Z52" i="8"/>
  <c r="AA52" i="8" s="1"/>
  <c r="AB52" i="8" s="1"/>
  <c r="AP52" i="8" s="1"/>
  <c r="AG61" i="8"/>
  <c r="Z36" i="8"/>
  <c r="AA36" i="8" s="1"/>
  <c r="AB36" i="8" s="1"/>
  <c r="AP36" i="8" s="1"/>
  <c r="U85" i="8"/>
  <c r="AJ28" i="8"/>
  <c r="U53" i="8"/>
  <c r="Z123" i="8"/>
  <c r="AA123" i="8" s="1"/>
  <c r="AB123" i="8" s="1"/>
  <c r="AP123" i="8" s="1"/>
  <c r="U114" i="8"/>
  <c r="Z99" i="8"/>
  <c r="AA99" i="8" s="1"/>
  <c r="AB99" i="8" s="1"/>
  <c r="AP99" i="8" s="1"/>
  <c r="U83" i="8"/>
  <c r="AC42" i="8"/>
  <c r="AD42" i="8"/>
  <c r="AO42" i="8" s="1"/>
  <c r="AK42" i="8"/>
  <c r="AI42" i="8"/>
  <c r="AJ42" i="8"/>
  <c r="AG42" i="8"/>
  <c r="U33" i="8"/>
  <c r="Z65" i="8"/>
  <c r="AA65" i="8" s="1"/>
  <c r="AB65" i="8" s="1"/>
  <c r="AP65" i="8" s="1"/>
  <c r="Z34" i="8"/>
  <c r="AA34" i="8" s="1"/>
  <c r="AB34" i="8" s="1"/>
  <c r="AP34" i="8" s="1"/>
  <c r="AK96" i="8"/>
  <c r="U35" i="8"/>
  <c r="AD95" i="8"/>
  <c r="AO95" i="8" s="1"/>
  <c r="AC95" i="8"/>
  <c r="AK95" i="8"/>
  <c r="AG95" i="8"/>
  <c r="AI95" i="8"/>
  <c r="AJ95" i="8"/>
  <c r="U109" i="8"/>
  <c r="AC70" i="8"/>
  <c r="AD70" i="8"/>
  <c r="AO70" i="8" s="1"/>
  <c r="AJ70" i="8"/>
  <c r="U92" i="8"/>
  <c r="AI121" i="8"/>
  <c r="AC50" i="8"/>
  <c r="AI116" i="8"/>
  <c r="AD111" i="8"/>
  <c r="AO111" i="8" s="1"/>
  <c r="AI61" i="8"/>
  <c r="AC36" i="8"/>
  <c r="AD36" i="8"/>
  <c r="AO36" i="8" s="1"/>
  <c r="U124" i="8"/>
  <c r="AK28" i="8"/>
  <c r="U98" i="8"/>
  <c r="U47" i="8"/>
  <c r="AJ113" i="8"/>
  <c r="AK86" i="8"/>
  <c r="AD99" i="8"/>
  <c r="AO99" i="8" s="1"/>
  <c r="AC99" i="8"/>
  <c r="U93" i="8"/>
  <c r="U120" i="8"/>
  <c r="U101" i="7"/>
  <c r="W101" i="7" s="1"/>
  <c r="U52" i="7"/>
  <c r="W52" i="7" s="1"/>
  <c r="AC31" i="7"/>
  <c r="AI31" i="7"/>
  <c r="AD31" i="7"/>
  <c r="AO31" i="7" s="1"/>
  <c r="AK31" i="7"/>
  <c r="AJ31" i="7"/>
  <c r="AG31" i="7"/>
  <c r="AC115" i="7"/>
  <c r="AD115" i="7"/>
  <c r="AO115" i="7" s="1"/>
  <c r="AK115" i="7"/>
  <c r="AC74" i="7"/>
  <c r="AD74" i="7"/>
  <c r="AO74" i="7" s="1"/>
  <c r="AJ74" i="7"/>
  <c r="AG74" i="7"/>
  <c r="AK74" i="7"/>
  <c r="U27" i="7"/>
  <c r="W27" i="7" s="1"/>
  <c r="AG39" i="7"/>
  <c r="U91" i="7"/>
  <c r="W91" i="7" s="1"/>
  <c r="Z107" i="7"/>
  <c r="AG108" i="7"/>
  <c r="Z31" i="7"/>
  <c r="U30" i="7"/>
  <c r="W30" i="7" s="1"/>
  <c r="U43" i="7"/>
  <c r="W43" i="7" s="1"/>
  <c r="Z71" i="7"/>
  <c r="U89" i="7"/>
  <c r="W89" i="7" s="1"/>
  <c r="U47" i="7"/>
  <c r="W47" i="7" s="1"/>
  <c r="AD50" i="7"/>
  <c r="AO50" i="7" s="1"/>
  <c r="AC50" i="7"/>
  <c r="AK50" i="7"/>
  <c r="AI50" i="7"/>
  <c r="AJ50" i="7"/>
  <c r="Z74" i="7"/>
  <c r="U41" i="7"/>
  <c r="W41" i="7" s="1"/>
  <c r="Z124" i="7"/>
  <c r="U46" i="7"/>
  <c r="W46" i="7" s="1"/>
  <c r="U61" i="7"/>
  <c r="W61" i="7" s="1"/>
  <c r="U65" i="7"/>
  <c r="W65" i="7" s="1"/>
  <c r="AG35" i="7"/>
  <c r="U51" i="7"/>
  <c r="W51" i="7" s="1"/>
  <c r="U93" i="7"/>
  <c r="W93" i="7" s="1"/>
  <c r="AC77" i="7"/>
  <c r="AD77" i="7"/>
  <c r="AO77" i="7" s="1"/>
  <c r="AD39" i="7"/>
  <c r="AO39" i="7" s="1"/>
  <c r="AC39" i="7"/>
  <c r="AI39" i="7"/>
  <c r="AK39" i="7"/>
  <c r="U102" i="7"/>
  <c r="W102" i="7" s="1"/>
  <c r="U28" i="7"/>
  <c r="W28" i="7" s="1"/>
  <c r="AC71" i="7"/>
  <c r="AD71" i="7"/>
  <c r="AO71" i="7" s="1"/>
  <c r="Z77" i="7"/>
  <c r="AC70" i="7"/>
  <c r="AD70" i="7"/>
  <c r="AO70" i="7" s="1"/>
  <c r="AG70" i="7"/>
  <c r="AJ70" i="7"/>
  <c r="AC107" i="7"/>
  <c r="AD107" i="7"/>
  <c r="AO107" i="7" s="1"/>
  <c r="AK107" i="7"/>
  <c r="AG107" i="7"/>
  <c r="U53" i="7"/>
  <c r="W53" i="7" s="1"/>
  <c r="AD53" i="7" s="1"/>
  <c r="AC125" i="7"/>
  <c r="AD125" i="7"/>
  <c r="AO125" i="7" s="1"/>
  <c r="AI125" i="7"/>
  <c r="AG125" i="7"/>
  <c r="AK125" i="7"/>
  <c r="AJ125" i="7"/>
  <c r="AD29" i="7"/>
  <c r="AO29" i="7" s="1"/>
  <c r="AC29" i="7"/>
  <c r="AK29" i="7"/>
  <c r="AJ29" i="7"/>
  <c r="AI29" i="7"/>
  <c r="AG29" i="7"/>
  <c r="AI77" i="7"/>
  <c r="U86" i="7"/>
  <c r="W86" i="7" s="1"/>
  <c r="Z75" i="7"/>
  <c r="AC124" i="7"/>
  <c r="AD124" i="7"/>
  <c r="AO124" i="7" s="1"/>
  <c r="AK124" i="7"/>
  <c r="AJ124" i="7"/>
  <c r="AC113" i="7"/>
  <c r="AD113" i="7"/>
  <c r="AO113" i="7" s="1"/>
  <c r="AJ113" i="7"/>
  <c r="AK113" i="7"/>
  <c r="U44" i="7"/>
  <c r="W44" i="7" s="1"/>
  <c r="AC56" i="7"/>
  <c r="AK56" i="7"/>
  <c r="AI56" i="7"/>
  <c r="AG56" i="7"/>
  <c r="U99" i="7"/>
  <c r="W99" i="7" s="1"/>
  <c r="U45" i="7"/>
  <c r="W45" i="7" s="1"/>
  <c r="AI115" i="7"/>
  <c r="U40" i="7"/>
  <c r="W40" i="7" s="1"/>
  <c r="AD66" i="7"/>
  <c r="AO66" i="7" s="1"/>
  <c r="AC66" i="7"/>
  <c r="AK66" i="7"/>
  <c r="AI66" i="7"/>
  <c r="U94" i="7"/>
  <c r="W94" i="7" s="1"/>
  <c r="AD83" i="7"/>
  <c r="AO83" i="7" s="1"/>
  <c r="AC83" i="7"/>
  <c r="AK83" i="7"/>
  <c r="AC114" i="7"/>
  <c r="AD114" i="7"/>
  <c r="AO114" i="7" s="1"/>
  <c r="AJ114" i="7"/>
  <c r="AG114" i="7"/>
  <c r="AD60" i="7"/>
  <c r="AO60" i="7" s="1"/>
  <c r="AC60" i="7"/>
  <c r="AG60" i="7"/>
  <c r="AI71" i="7"/>
  <c r="Z33" i="7"/>
  <c r="AI70" i="7"/>
  <c r="U37" i="7"/>
  <c r="W37" i="7" s="1"/>
  <c r="AC105" i="7"/>
  <c r="AD105" i="7"/>
  <c r="AO105" i="7" s="1"/>
  <c r="AG105" i="7"/>
  <c r="AK105" i="7"/>
  <c r="AJ105" i="7"/>
  <c r="AC106" i="7"/>
  <c r="AD106" i="7"/>
  <c r="AO106" i="7" s="1"/>
  <c r="AG106" i="7"/>
  <c r="Z117" i="7"/>
  <c r="U88" i="7"/>
  <c r="W88" i="7" s="1"/>
  <c r="AD38" i="7"/>
  <c r="AO38" i="7" s="1"/>
  <c r="AC38" i="7"/>
  <c r="Z32" i="7"/>
  <c r="AG83" i="7"/>
  <c r="AI105" i="7"/>
  <c r="U34" i="7"/>
  <c r="W34" i="7" s="1"/>
  <c r="AI60" i="7"/>
  <c r="Z81" i="7"/>
  <c r="U49" i="7"/>
  <c r="W49" i="7" s="1"/>
  <c r="AG115" i="7"/>
  <c r="AD33" i="7"/>
  <c r="AO33" i="7" s="1"/>
  <c r="AC33" i="7"/>
  <c r="AJ33" i="7"/>
  <c r="AK33" i="7"/>
  <c r="U48" i="7"/>
  <c r="W48" i="7" s="1"/>
  <c r="U36" i="7"/>
  <c r="W36" i="7" s="1"/>
  <c r="AC117" i="7"/>
  <c r="AD117" i="7"/>
  <c r="AO117" i="7" s="1"/>
  <c r="AJ117" i="7"/>
  <c r="AK117" i="7"/>
  <c r="AG117" i="7"/>
  <c r="AC81" i="7"/>
  <c r="AD81" i="7"/>
  <c r="AO81" i="7" s="1"/>
  <c r="AI81" i="7"/>
  <c r="AG81" i="7"/>
  <c r="Z66" i="7"/>
  <c r="Z108" i="7"/>
  <c r="U92" i="7"/>
  <c r="W92" i="7" s="1"/>
  <c r="U100" i="7"/>
  <c r="W100" i="7" s="1"/>
  <c r="AC119" i="7"/>
  <c r="AD119" i="7"/>
  <c r="AO119" i="7" s="1"/>
  <c r="AG119" i="7"/>
  <c r="AK119" i="7"/>
  <c r="AJ77" i="7"/>
  <c r="U97" i="7"/>
  <c r="W97" i="7" s="1"/>
  <c r="Z114" i="7"/>
  <c r="AI117" i="7"/>
  <c r="Z60" i="7"/>
  <c r="AC123" i="7"/>
  <c r="AD123" i="7"/>
  <c r="AO123" i="7" s="1"/>
  <c r="AK123" i="7"/>
  <c r="AG71" i="7"/>
  <c r="AC79" i="7"/>
  <c r="AD79" i="7"/>
  <c r="AO79" i="7" s="1"/>
  <c r="AI79" i="7"/>
  <c r="AG79" i="7"/>
  <c r="Z85" i="7"/>
  <c r="AC111" i="7"/>
  <c r="AD111" i="7"/>
  <c r="AO111" i="7" s="1"/>
  <c r="AG111" i="7"/>
  <c r="AC109" i="7"/>
  <c r="AD109" i="7"/>
  <c r="AO109" i="7" s="1"/>
  <c r="AK109" i="7"/>
  <c r="AG109" i="7"/>
  <c r="AJ109" i="7"/>
  <c r="Z105" i="7"/>
  <c r="Z106" i="7"/>
  <c r="U87" i="7"/>
  <c r="W87" i="7" s="1"/>
  <c r="AJ115" i="7"/>
  <c r="U69" i="7"/>
  <c r="W69" i="7" s="1"/>
  <c r="Z35" i="7"/>
  <c r="AC116" i="7"/>
  <c r="AD116" i="7"/>
  <c r="AO116" i="7" s="1"/>
  <c r="AJ116" i="7"/>
  <c r="U63" i="7"/>
  <c r="W63" i="7" s="1"/>
  <c r="U96" i="7"/>
  <c r="W96" i="7" s="1"/>
  <c r="U95" i="7"/>
  <c r="W95" i="7" s="1"/>
  <c r="AG113" i="7"/>
  <c r="AG38" i="7"/>
  <c r="AC57" i="7"/>
  <c r="AI57" i="7"/>
  <c r="AG57" i="7"/>
  <c r="AK57" i="7"/>
  <c r="AJ57" i="7"/>
  <c r="U26" i="7"/>
  <c r="W26" i="7" s="1"/>
  <c r="AG77" i="7"/>
  <c r="U90" i="7"/>
  <c r="W90" i="7" s="1"/>
  <c r="AC75" i="7"/>
  <c r="AD75" i="7"/>
  <c r="AO75" i="7" s="1"/>
  <c r="AJ75" i="7"/>
  <c r="AG75" i="7"/>
  <c r="AK75" i="7"/>
  <c r="AI75" i="7"/>
  <c r="U64" i="7"/>
  <c r="W64" i="7" s="1"/>
  <c r="AD32" i="7"/>
  <c r="AO32" i="7" s="1"/>
  <c r="AC32" i="7"/>
  <c r="AJ32" i="7"/>
  <c r="AG32" i="7"/>
  <c r="AK32" i="7"/>
  <c r="AC108" i="7"/>
  <c r="AD108" i="7"/>
  <c r="AO108" i="7" s="1"/>
  <c r="AJ108" i="7"/>
  <c r="AK108" i="7"/>
  <c r="U98" i="7"/>
  <c r="W98" i="7" s="1"/>
  <c r="AC121" i="7"/>
  <c r="AD121" i="7"/>
  <c r="AO121" i="7" s="1"/>
  <c r="AG121" i="7"/>
  <c r="AK121" i="7"/>
  <c r="AJ121" i="7"/>
  <c r="U42" i="7"/>
  <c r="W42" i="7" s="1"/>
  <c r="AI33" i="7"/>
  <c r="AC54" i="7"/>
  <c r="AK54" i="7"/>
  <c r="AJ54" i="7"/>
  <c r="AI54" i="7"/>
  <c r="AG54" i="7"/>
  <c r="U62" i="7"/>
  <c r="W62" i="7" s="1"/>
  <c r="AD85" i="7"/>
  <c r="AO85" i="7" s="1"/>
  <c r="AC85" i="7"/>
  <c r="AI85" i="7"/>
  <c r="AK85" i="7"/>
  <c r="AJ85" i="7"/>
  <c r="AG85" i="7"/>
  <c r="AC122" i="7"/>
  <c r="AD122" i="7"/>
  <c r="AO122" i="7" s="1"/>
  <c r="AK122" i="7"/>
  <c r="AG122" i="7"/>
  <c r="U67" i="7"/>
  <c r="W67" i="7" s="1"/>
  <c r="AD35" i="7"/>
  <c r="AO35" i="7" s="1"/>
  <c r="AC35" i="7"/>
  <c r="AI35" i="7"/>
  <c r="AC103" i="7"/>
  <c r="AD103" i="7"/>
  <c r="AO103" i="7" s="1"/>
  <c r="AG103" i="7"/>
  <c r="AK103" i="7"/>
  <c r="AC104" i="7"/>
  <c r="AD104" i="7"/>
  <c r="AO104" i="7" s="1"/>
  <c r="AG104" i="7"/>
  <c r="AJ71" i="7"/>
  <c r="AK81" i="7"/>
  <c r="AC40" i="8" l="1"/>
  <c r="AC107" i="8"/>
  <c r="AG65" i="8"/>
  <c r="AD78" i="8"/>
  <c r="AO78" i="8" s="1"/>
  <c r="AC78" i="8"/>
  <c r="AJ65" i="8"/>
  <c r="AK107" i="8"/>
  <c r="AC65" i="8"/>
  <c r="AC123" i="8"/>
  <c r="AJ107" i="8"/>
  <c r="AD40" i="8"/>
  <c r="AO40" i="8" s="1"/>
  <c r="AI78" i="8"/>
  <c r="AG78" i="8"/>
  <c r="AI107" i="8"/>
  <c r="AK36" i="8"/>
  <c r="AG36" i="8"/>
  <c r="AD59" i="8"/>
  <c r="AO59" i="8" s="1"/>
  <c r="AI46" i="8"/>
  <c r="AI40" i="8"/>
  <c r="Z73" i="8"/>
  <c r="AA73" i="8" s="1"/>
  <c r="AB73" i="8" s="1"/>
  <c r="AP73" i="8" s="1"/>
  <c r="AD123" i="8"/>
  <c r="AO123" i="8" s="1"/>
  <c r="AI30" i="8"/>
  <c r="AI96" i="8"/>
  <c r="AJ78" i="8"/>
  <c r="AG26" i="8"/>
  <c r="AJ46" i="8"/>
  <c r="AJ111" i="8"/>
  <c r="AG46" i="8"/>
  <c r="AG105" i="8"/>
  <c r="AK59" i="8"/>
  <c r="AD107" i="8"/>
  <c r="AO107" i="8" s="1"/>
  <c r="AD52" i="8"/>
  <c r="AO52" i="8" s="1"/>
  <c r="AI86" i="8"/>
  <c r="AI59" i="8"/>
  <c r="AG52" i="8"/>
  <c r="AK34" i="8"/>
  <c r="AG32" i="8"/>
  <c r="AK44" i="8"/>
  <c r="AI32" i="8"/>
  <c r="AG86" i="8"/>
  <c r="AJ44" i="8"/>
  <c r="AD32" i="8"/>
  <c r="AO32" i="8" s="1"/>
  <c r="AC86" i="8"/>
  <c r="AC59" i="8"/>
  <c r="AK32" i="8"/>
  <c r="AC105" i="8"/>
  <c r="AJ105" i="8"/>
  <c r="AI63" i="8"/>
  <c r="AK115" i="8"/>
  <c r="AD63" i="8"/>
  <c r="AO63" i="8" s="1"/>
  <c r="AK123" i="8"/>
  <c r="AJ40" i="8"/>
  <c r="AK40" i="8"/>
  <c r="AK70" i="8"/>
  <c r="AJ50" i="8"/>
  <c r="AG63" i="8"/>
  <c r="AG111" i="8"/>
  <c r="AK50" i="8"/>
  <c r="AI52" i="8"/>
  <c r="AK65" i="8"/>
  <c r="AK63" i="8"/>
  <c r="AK38" i="8"/>
  <c r="AJ38" i="8"/>
  <c r="AG38" i="8"/>
  <c r="AI65" i="8"/>
  <c r="AJ86" i="8"/>
  <c r="AK46" i="8"/>
  <c r="AI44" i="8"/>
  <c r="AD46" i="8"/>
  <c r="AO46" i="8" s="1"/>
  <c r="AJ32" i="8"/>
  <c r="AK111" i="8"/>
  <c r="AC115" i="8"/>
  <c r="AD44" i="8"/>
  <c r="AO44" i="8" s="1"/>
  <c r="AG123" i="8"/>
  <c r="AG50" i="8"/>
  <c r="AD115" i="8"/>
  <c r="AO115" i="8" s="1"/>
  <c r="AC44" i="8"/>
  <c r="AD105" i="8"/>
  <c r="AO105" i="8" s="1"/>
  <c r="AJ63" i="8"/>
  <c r="AG70" i="8"/>
  <c r="AI50" i="8"/>
  <c r="AJ115" i="8"/>
  <c r="AI38" i="8"/>
  <c r="AK99" i="8"/>
  <c r="AJ26" i="8"/>
  <c r="Z98" i="8"/>
  <c r="AA98" i="8" s="1"/>
  <c r="AB98" i="8" s="1"/>
  <c r="AP98" i="8" s="1"/>
  <c r="Z125" i="8"/>
  <c r="AA125" i="8" s="1"/>
  <c r="AB125" i="8" s="1"/>
  <c r="AP125" i="8" s="1"/>
  <c r="Z47" i="8"/>
  <c r="AA47" i="8" s="1"/>
  <c r="AB47" i="8" s="1"/>
  <c r="AP47" i="8" s="1"/>
  <c r="Z91" i="8"/>
  <c r="AA91" i="8" s="1"/>
  <c r="AB91" i="8" s="1"/>
  <c r="AP91" i="8" s="1"/>
  <c r="AM115" i="7"/>
  <c r="AM38" i="7"/>
  <c r="Z61" i="7"/>
  <c r="AA61" i="7" s="1"/>
  <c r="AB61" i="7" s="1"/>
  <c r="AP61" i="7" s="1"/>
  <c r="Z93" i="7"/>
  <c r="AM93" i="7" s="1"/>
  <c r="AM109" i="7"/>
  <c r="Z95" i="7"/>
  <c r="AA95" i="7" s="1"/>
  <c r="AB95" i="7" s="1"/>
  <c r="AP95" i="7" s="1"/>
  <c r="AA60" i="7"/>
  <c r="AB60" i="7" s="1"/>
  <c r="AP60" i="7" s="1"/>
  <c r="AM60" i="7"/>
  <c r="AA103" i="7"/>
  <c r="AB103" i="7" s="1"/>
  <c r="AP103" i="7" s="1"/>
  <c r="AM103" i="7"/>
  <c r="AA124" i="7"/>
  <c r="AB124" i="7" s="1"/>
  <c r="AP124" i="7" s="1"/>
  <c r="AM124" i="7"/>
  <c r="AA111" i="7"/>
  <c r="AB111" i="7" s="1"/>
  <c r="AP111" i="7" s="1"/>
  <c r="AM111" i="7"/>
  <c r="AA74" i="7"/>
  <c r="AB74" i="7" s="1"/>
  <c r="AP74" i="7" s="1"/>
  <c r="AM74" i="7"/>
  <c r="AA108" i="7"/>
  <c r="AB108" i="7" s="1"/>
  <c r="AP108" i="7" s="1"/>
  <c r="AM108" i="7"/>
  <c r="AA32" i="7"/>
  <c r="AB32" i="7" s="1"/>
  <c r="AP32" i="7" s="1"/>
  <c r="AM32" i="7"/>
  <c r="Z53" i="7"/>
  <c r="Z43" i="7"/>
  <c r="Z27" i="7"/>
  <c r="AA119" i="7"/>
  <c r="AB119" i="7" s="1"/>
  <c r="AP119" i="7" s="1"/>
  <c r="AM119" i="7"/>
  <c r="AA122" i="7"/>
  <c r="AB122" i="7" s="1"/>
  <c r="AP122" i="7" s="1"/>
  <c r="AM122" i="7"/>
  <c r="AA50" i="7"/>
  <c r="AB50" i="7" s="1"/>
  <c r="AP50" i="7" s="1"/>
  <c r="AM50" i="7"/>
  <c r="AA79" i="7"/>
  <c r="AB79" i="7" s="1"/>
  <c r="AP79" i="7" s="1"/>
  <c r="AM79" i="7"/>
  <c r="AA121" i="7"/>
  <c r="AB121" i="7" s="1"/>
  <c r="AP121" i="7" s="1"/>
  <c r="AM121" i="7"/>
  <c r="AA35" i="7"/>
  <c r="AB35" i="7" s="1"/>
  <c r="AP35" i="7" s="1"/>
  <c r="AM35" i="7"/>
  <c r="AA33" i="7"/>
  <c r="AB33" i="7" s="1"/>
  <c r="AP33" i="7" s="1"/>
  <c r="AM33" i="7"/>
  <c r="AA66" i="7"/>
  <c r="AB66" i="7" s="1"/>
  <c r="AP66" i="7" s="1"/>
  <c r="AM66" i="7"/>
  <c r="AA75" i="7"/>
  <c r="AB75" i="7" s="1"/>
  <c r="AP75" i="7" s="1"/>
  <c r="AM75" i="7"/>
  <c r="AA29" i="7"/>
  <c r="AB29" i="7" s="1"/>
  <c r="AP29" i="7" s="1"/>
  <c r="AM29" i="7"/>
  <c r="AA113" i="7"/>
  <c r="AB113" i="7" s="1"/>
  <c r="AP113" i="7" s="1"/>
  <c r="AM113" i="7"/>
  <c r="AA106" i="7"/>
  <c r="AB106" i="7" s="1"/>
  <c r="AP106" i="7" s="1"/>
  <c r="AM106" i="7"/>
  <c r="AA77" i="7"/>
  <c r="AB77" i="7" s="1"/>
  <c r="AP77" i="7" s="1"/>
  <c r="AM77" i="7"/>
  <c r="AA83" i="7"/>
  <c r="AB83" i="7" s="1"/>
  <c r="AP83" i="7" s="1"/>
  <c r="AM83" i="7"/>
  <c r="AA123" i="7"/>
  <c r="AB123" i="7" s="1"/>
  <c r="AP123" i="7" s="1"/>
  <c r="AM123" i="7"/>
  <c r="AA116" i="7"/>
  <c r="AB116" i="7" s="1"/>
  <c r="AP116" i="7" s="1"/>
  <c r="AM116" i="7"/>
  <c r="AA93" i="7"/>
  <c r="AB93" i="7" s="1"/>
  <c r="AP93" i="7" s="1"/>
  <c r="AA107" i="7"/>
  <c r="AB107" i="7" s="1"/>
  <c r="AP107" i="7" s="1"/>
  <c r="AM107" i="7"/>
  <c r="AA70" i="7"/>
  <c r="AB70" i="7" s="1"/>
  <c r="AP70" i="7" s="1"/>
  <c r="AM70" i="7"/>
  <c r="AA71" i="7"/>
  <c r="AB71" i="7" s="1"/>
  <c r="AP71" i="7" s="1"/>
  <c r="AM71" i="7"/>
  <c r="AA105" i="7"/>
  <c r="AB105" i="7" s="1"/>
  <c r="AP105" i="7" s="1"/>
  <c r="AM105" i="7"/>
  <c r="AA81" i="7"/>
  <c r="AB81" i="7" s="1"/>
  <c r="AP81" i="7" s="1"/>
  <c r="AM81" i="7"/>
  <c r="AA31" i="7"/>
  <c r="AB31" i="7" s="1"/>
  <c r="AP31" i="7" s="1"/>
  <c r="AM31" i="7"/>
  <c r="AA104" i="7"/>
  <c r="AB104" i="7" s="1"/>
  <c r="AP104" i="7" s="1"/>
  <c r="AM104" i="7"/>
  <c r="AA114" i="7"/>
  <c r="AB114" i="7" s="1"/>
  <c r="AP114" i="7" s="1"/>
  <c r="AM114" i="7"/>
  <c r="AA85" i="7"/>
  <c r="AB85" i="7" s="1"/>
  <c r="AP85" i="7" s="1"/>
  <c r="AM85" i="7"/>
  <c r="AA117" i="7"/>
  <c r="AB117" i="7" s="1"/>
  <c r="AP117" i="7" s="1"/>
  <c r="AM117" i="7"/>
  <c r="AA125" i="7"/>
  <c r="AB125" i="7" s="1"/>
  <c r="AP125" i="7" s="1"/>
  <c r="AM125" i="7"/>
  <c r="Z63" i="7"/>
  <c r="Z87" i="7"/>
  <c r="Z97" i="7"/>
  <c r="Z67" i="7"/>
  <c r="Z41" i="7"/>
  <c r="Z47" i="7"/>
  <c r="Z49" i="7"/>
  <c r="Z65" i="7"/>
  <c r="Z91" i="7"/>
  <c r="AA96" i="9"/>
  <c r="AB96" i="9" s="1"/>
  <c r="AP96" i="9" s="1"/>
  <c r="AA49" i="9"/>
  <c r="AB49" i="9" s="1"/>
  <c r="AP49" i="9" s="1"/>
  <c r="AA108" i="9"/>
  <c r="AB108" i="9" s="1"/>
  <c r="AP108" i="9" s="1"/>
  <c r="AA81" i="9"/>
  <c r="AB81" i="9" s="1"/>
  <c r="AP81" i="9" s="1"/>
  <c r="AA63" i="9"/>
  <c r="AB63" i="9" s="1"/>
  <c r="AP63" i="9" s="1"/>
  <c r="AA122" i="9"/>
  <c r="AB122" i="9" s="1"/>
  <c r="AP122" i="9" s="1"/>
  <c r="AA72" i="9"/>
  <c r="AB72" i="9" s="1"/>
  <c r="AP72" i="9" s="1"/>
  <c r="AC120" i="9"/>
  <c r="AD120" i="9"/>
  <c r="AO120" i="9" s="1"/>
  <c r="AK120" i="9"/>
  <c r="AJ120" i="9"/>
  <c r="AI120" i="9"/>
  <c r="AG120" i="9"/>
  <c r="AD110" i="9"/>
  <c r="AO110" i="9" s="1"/>
  <c r="AC110" i="9"/>
  <c r="AI110" i="9"/>
  <c r="AJ110" i="9"/>
  <c r="AG110" i="9"/>
  <c r="AK110" i="9"/>
  <c r="AD80" i="9"/>
  <c r="AO80" i="9" s="1"/>
  <c r="AC80" i="9"/>
  <c r="AK80" i="9"/>
  <c r="AJ80" i="9"/>
  <c r="AI80" i="9"/>
  <c r="AG80" i="9"/>
  <c r="AC124" i="9"/>
  <c r="AD124" i="9"/>
  <c r="AO124" i="9" s="1"/>
  <c r="AK124" i="9"/>
  <c r="AG124" i="9"/>
  <c r="AI124" i="9"/>
  <c r="AJ124" i="9"/>
  <c r="AA120" i="9"/>
  <c r="AB120" i="9" s="1"/>
  <c r="AP120" i="9" s="1"/>
  <c r="AD51" i="9"/>
  <c r="AO51" i="9" s="1"/>
  <c r="AC51" i="9"/>
  <c r="AJ51" i="9"/>
  <c r="AI51" i="9"/>
  <c r="AG51" i="9"/>
  <c r="AK51" i="9"/>
  <c r="AD112" i="9"/>
  <c r="AO112" i="9" s="1"/>
  <c r="AC112" i="9"/>
  <c r="AK112" i="9"/>
  <c r="AJ112" i="9"/>
  <c r="AG112" i="9"/>
  <c r="AI112" i="9"/>
  <c r="AA84" i="9"/>
  <c r="AB84" i="9" s="1"/>
  <c r="AP84" i="9" s="1"/>
  <c r="AA47" i="9"/>
  <c r="AB47" i="9" s="1"/>
  <c r="AP47" i="9" s="1"/>
  <c r="AA124" i="9"/>
  <c r="AB124" i="9" s="1"/>
  <c r="AP124" i="9" s="1"/>
  <c r="AD96" i="9"/>
  <c r="AO96" i="9" s="1"/>
  <c r="AC96" i="9"/>
  <c r="AK96" i="9"/>
  <c r="AG96" i="9"/>
  <c r="AI96" i="9"/>
  <c r="AJ96" i="9"/>
  <c r="AC33" i="9"/>
  <c r="AD33" i="9"/>
  <c r="AO33" i="9" s="1"/>
  <c r="AG33" i="9"/>
  <c r="AI33" i="9"/>
  <c r="AJ33" i="9"/>
  <c r="AK33" i="9"/>
  <c r="AD82" i="9"/>
  <c r="AO82" i="9" s="1"/>
  <c r="AC82" i="9"/>
  <c r="AG82" i="9"/>
  <c r="AJ82" i="9"/>
  <c r="AK82" i="9"/>
  <c r="AI82" i="9"/>
  <c r="AA59" i="9"/>
  <c r="AB59" i="9" s="1"/>
  <c r="AP59" i="9" s="1"/>
  <c r="AA51" i="9"/>
  <c r="AB51" i="9" s="1"/>
  <c r="AP51" i="9" s="1"/>
  <c r="AD108" i="9"/>
  <c r="AO108" i="9" s="1"/>
  <c r="AC108" i="9"/>
  <c r="AJ108" i="9"/>
  <c r="AK108" i="9"/>
  <c r="AI108" i="9"/>
  <c r="AG108" i="9"/>
  <c r="AA112" i="9"/>
  <c r="AB112" i="9" s="1"/>
  <c r="AP112" i="9" s="1"/>
  <c r="AA69" i="9"/>
  <c r="AB69" i="9" s="1"/>
  <c r="AP69" i="9" s="1"/>
  <c r="AD49" i="9"/>
  <c r="AO49" i="9" s="1"/>
  <c r="AC49" i="9"/>
  <c r="AI49" i="9"/>
  <c r="AG49" i="9"/>
  <c r="AK49" i="9"/>
  <c r="AJ49" i="9"/>
  <c r="AA74" i="9"/>
  <c r="AB74" i="9" s="1"/>
  <c r="AP74" i="9" s="1"/>
  <c r="AD81" i="9"/>
  <c r="AO81" i="9" s="1"/>
  <c r="AC81" i="9"/>
  <c r="AJ81" i="9"/>
  <c r="AK81" i="9"/>
  <c r="AI81" i="9"/>
  <c r="AG81" i="9"/>
  <c r="AD39" i="9"/>
  <c r="AO39" i="9" s="1"/>
  <c r="AC39" i="9"/>
  <c r="AK39" i="9"/>
  <c r="AJ39" i="9"/>
  <c r="AG39" i="9"/>
  <c r="AI39" i="9"/>
  <c r="AD59" i="9"/>
  <c r="AO59" i="9" s="1"/>
  <c r="AC59" i="9"/>
  <c r="AI59" i="9"/>
  <c r="AG59" i="9"/>
  <c r="AJ59" i="9"/>
  <c r="AK59" i="9"/>
  <c r="AC118" i="9"/>
  <c r="AD118" i="9"/>
  <c r="AO118" i="9" s="1"/>
  <c r="AK118" i="9"/>
  <c r="AJ118" i="9"/>
  <c r="AG118" i="9"/>
  <c r="AI118" i="9"/>
  <c r="AD69" i="9"/>
  <c r="AO69" i="9" s="1"/>
  <c r="AC69" i="9"/>
  <c r="AJ69" i="9"/>
  <c r="AK69" i="9"/>
  <c r="AI69" i="9"/>
  <c r="AG69" i="9"/>
  <c r="AC74" i="9"/>
  <c r="AD74" i="9"/>
  <c r="AO74" i="9" s="1"/>
  <c r="AJ74" i="9"/>
  <c r="AK74" i="9"/>
  <c r="AG74" i="9"/>
  <c r="AI74" i="9"/>
  <c r="AD68" i="9"/>
  <c r="AO68" i="9" s="1"/>
  <c r="AC68" i="9"/>
  <c r="AK68" i="9"/>
  <c r="AJ68" i="9"/>
  <c r="AI68" i="9"/>
  <c r="AG68" i="9"/>
  <c r="AD31" i="9"/>
  <c r="AO31" i="9" s="1"/>
  <c r="AC31" i="9"/>
  <c r="AK31" i="9"/>
  <c r="AI31" i="9"/>
  <c r="AJ31" i="9"/>
  <c r="AG31" i="9"/>
  <c r="AD47" i="9"/>
  <c r="AO47" i="9" s="1"/>
  <c r="AC47" i="9"/>
  <c r="AK47" i="9"/>
  <c r="AI47" i="9"/>
  <c r="AG47" i="9"/>
  <c r="AJ47" i="9"/>
  <c r="AD45" i="9"/>
  <c r="AO45" i="9" s="1"/>
  <c r="AC45" i="9"/>
  <c r="AK45" i="9"/>
  <c r="AJ45" i="9"/>
  <c r="AI45" i="9"/>
  <c r="AG45" i="9"/>
  <c r="AD71" i="9"/>
  <c r="AO71" i="9" s="1"/>
  <c r="AC71" i="9"/>
  <c r="AI71" i="9"/>
  <c r="AG71" i="9"/>
  <c r="AJ71" i="9"/>
  <c r="AK71" i="9"/>
  <c r="AA45" i="9"/>
  <c r="AB45" i="9" s="1"/>
  <c r="AP45" i="9" s="1"/>
  <c r="AA29" i="9"/>
  <c r="AB29" i="9" s="1"/>
  <c r="AP29" i="9" s="1"/>
  <c r="AA118" i="9"/>
  <c r="AB118" i="9" s="1"/>
  <c r="AP118" i="9" s="1"/>
  <c r="AD72" i="9"/>
  <c r="AO72" i="9" s="1"/>
  <c r="AC72" i="9"/>
  <c r="AI72" i="9"/>
  <c r="AG72" i="9"/>
  <c r="AJ72" i="9"/>
  <c r="AK72" i="9"/>
  <c r="AA76" i="9"/>
  <c r="AB76" i="9" s="1"/>
  <c r="AP76" i="9" s="1"/>
  <c r="AC122" i="9"/>
  <c r="AD122" i="9"/>
  <c r="AO122" i="9" s="1"/>
  <c r="AJ122" i="9"/>
  <c r="AI122" i="9"/>
  <c r="AK122" i="9"/>
  <c r="AG122" i="9"/>
  <c r="AD41" i="9"/>
  <c r="AO41" i="9" s="1"/>
  <c r="AC41" i="9"/>
  <c r="AI41" i="9"/>
  <c r="AG41" i="9"/>
  <c r="AJ41" i="9"/>
  <c r="AK41" i="9"/>
  <c r="AA68" i="9"/>
  <c r="AB68" i="9" s="1"/>
  <c r="AP68" i="9" s="1"/>
  <c r="AA31" i="9"/>
  <c r="AB31" i="9" s="1"/>
  <c r="AP31" i="9" s="1"/>
  <c r="AD53" i="9"/>
  <c r="AO53" i="9" s="1"/>
  <c r="AC53" i="9"/>
  <c r="AI53" i="9"/>
  <c r="AG53" i="9"/>
  <c r="AJ53" i="9"/>
  <c r="AK53" i="9"/>
  <c r="AD65" i="9"/>
  <c r="AO65" i="9" s="1"/>
  <c r="AC65" i="9"/>
  <c r="AJ65" i="9"/>
  <c r="AI65" i="9"/>
  <c r="AK65" i="9"/>
  <c r="AG65" i="9"/>
  <c r="AA39" i="9"/>
  <c r="AB39" i="9" s="1"/>
  <c r="AP39" i="9" s="1"/>
  <c r="AA61" i="9"/>
  <c r="AB61" i="9" s="1"/>
  <c r="AP61" i="9" s="1"/>
  <c r="AD29" i="9"/>
  <c r="AO29" i="9" s="1"/>
  <c r="AC29" i="9"/>
  <c r="AG29" i="9"/>
  <c r="AJ29" i="9"/>
  <c r="AK29" i="9"/>
  <c r="AI29" i="9"/>
  <c r="AA73" i="9"/>
  <c r="AB73" i="9" s="1"/>
  <c r="AP73" i="9" s="1"/>
  <c r="AD76" i="9"/>
  <c r="AO76" i="9" s="1"/>
  <c r="AC76" i="9"/>
  <c r="AJ76" i="9"/>
  <c r="AK76" i="9"/>
  <c r="AI76" i="9"/>
  <c r="AG76" i="9"/>
  <c r="AA67" i="9"/>
  <c r="AB67" i="9" s="1"/>
  <c r="AP67" i="9" s="1"/>
  <c r="AC116" i="9"/>
  <c r="AD116" i="9"/>
  <c r="AO116" i="9" s="1"/>
  <c r="AK116" i="9"/>
  <c r="AJ116" i="9"/>
  <c r="AI116" i="9"/>
  <c r="AG116" i="9"/>
  <c r="AA53" i="9"/>
  <c r="AB53" i="9" s="1"/>
  <c r="AP53" i="9" s="1"/>
  <c r="AD84" i="9"/>
  <c r="AO84" i="9" s="1"/>
  <c r="AC84" i="9"/>
  <c r="AK84" i="9"/>
  <c r="AJ84" i="9"/>
  <c r="AI84" i="9"/>
  <c r="AG84" i="9"/>
  <c r="AA110" i="9"/>
  <c r="AB110" i="9" s="1"/>
  <c r="AP110" i="9" s="1"/>
  <c r="AD61" i="9"/>
  <c r="AO61" i="9" s="1"/>
  <c r="AC61" i="9"/>
  <c r="AI61" i="9"/>
  <c r="AK61" i="9"/>
  <c r="AG61" i="9"/>
  <c r="AJ61" i="9"/>
  <c r="AD43" i="9"/>
  <c r="AO43" i="9" s="1"/>
  <c r="AC43" i="9"/>
  <c r="AI43" i="9"/>
  <c r="AG43" i="9"/>
  <c r="AJ43" i="9"/>
  <c r="AK43" i="9"/>
  <c r="AD75" i="9"/>
  <c r="AO75" i="9" s="1"/>
  <c r="AC75" i="9"/>
  <c r="AG75" i="9"/>
  <c r="AI75" i="9"/>
  <c r="AK75" i="9"/>
  <c r="AJ75" i="9"/>
  <c r="AD73" i="9"/>
  <c r="AO73" i="9" s="1"/>
  <c r="AC73" i="9"/>
  <c r="AI73" i="9"/>
  <c r="AG73" i="9"/>
  <c r="AJ73" i="9"/>
  <c r="AK73" i="9"/>
  <c r="AD70" i="9"/>
  <c r="AO70" i="9" s="1"/>
  <c r="AC70" i="9"/>
  <c r="AK70" i="9"/>
  <c r="AJ70" i="9"/>
  <c r="AI70" i="9"/>
  <c r="AG70" i="9"/>
  <c r="AD67" i="9"/>
  <c r="AO67" i="9" s="1"/>
  <c r="AC67" i="9"/>
  <c r="AJ67" i="9"/>
  <c r="AI67" i="9"/>
  <c r="AG67" i="9"/>
  <c r="AK67" i="9"/>
  <c r="AD60" i="9"/>
  <c r="AO60" i="9" s="1"/>
  <c r="AC60" i="9"/>
  <c r="AK60" i="9"/>
  <c r="AG60" i="9"/>
  <c r="AI60" i="9"/>
  <c r="AJ60" i="9"/>
  <c r="AA78" i="9"/>
  <c r="AB78" i="9" s="1"/>
  <c r="AP78" i="9" s="1"/>
  <c r="AD92" i="9"/>
  <c r="AO92" i="9" s="1"/>
  <c r="AC92" i="9"/>
  <c r="AI92" i="9"/>
  <c r="AG92" i="9"/>
  <c r="AK92" i="9"/>
  <c r="AJ92" i="9"/>
  <c r="AA92" i="9"/>
  <c r="AB92" i="9" s="1"/>
  <c r="AP92" i="9" s="1"/>
  <c r="AA43" i="9"/>
  <c r="AB43" i="9" s="1"/>
  <c r="AP43" i="9" s="1"/>
  <c r="AA75" i="9"/>
  <c r="AB75" i="9" s="1"/>
  <c r="AP75" i="9" s="1"/>
  <c r="AD63" i="9"/>
  <c r="AO63" i="9" s="1"/>
  <c r="AC63" i="9"/>
  <c r="AK63" i="9"/>
  <c r="AJ63" i="9"/>
  <c r="AG63" i="9"/>
  <c r="AI63" i="9"/>
  <c r="AA70" i="9"/>
  <c r="AB70" i="9" s="1"/>
  <c r="AP70" i="9" s="1"/>
  <c r="AA80" i="9"/>
  <c r="AB80" i="9" s="1"/>
  <c r="AP80" i="9" s="1"/>
  <c r="AA65" i="9"/>
  <c r="AB65" i="9" s="1"/>
  <c r="AP65" i="9" s="1"/>
  <c r="AA60" i="9"/>
  <c r="AB60" i="9" s="1"/>
  <c r="AP60" i="9" s="1"/>
  <c r="AD78" i="9"/>
  <c r="AO78" i="9" s="1"/>
  <c r="AC78" i="9"/>
  <c r="AI78" i="9"/>
  <c r="AJ78" i="9"/>
  <c r="AK78" i="9"/>
  <c r="AG78" i="9"/>
  <c r="Z28" i="7"/>
  <c r="Z101" i="7"/>
  <c r="Z96" i="7"/>
  <c r="Z99" i="7"/>
  <c r="Z86" i="7"/>
  <c r="Z92" i="7"/>
  <c r="Z37" i="7"/>
  <c r="Z26" i="7"/>
  <c r="Z104" i="8"/>
  <c r="AA104" i="8" s="1"/>
  <c r="AB104" i="8" s="1"/>
  <c r="AP104" i="8" s="1"/>
  <c r="Z75" i="8"/>
  <c r="AA75" i="8" s="1"/>
  <c r="AB75" i="8" s="1"/>
  <c r="AP75" i="8" s="1"/>
  <c r="Z117" i="8"/>
  <c r="AA117" i="8" s="1"/>
  <c r="AB117" i="8" s="1"/>
  <c r="AP117" i="8" s="1"/>
  <c r="Z66" i="8"/>
  <c r="AA66" i="8" s="1"/>
  <c r="AB66" i="8" s="1"/>
  <c r="AP66" i="8" s="1"/>
  <c r="Z64" i="8"/>
  <c r="AA64" i="8" s="1"/>
  <c r="AB64" i="8" s="1"/>
  <c r="AP64" i="8" s="1"/>
  <c r="Z31" i="8"/>
  <c r="AA31" i="8" s="1"/>
  <c r="AB31" i="8" s="1"/>
  <c r="AP31" i="8" s="1"/>
  <c r="Z35" i="8"/>
  <c r="AA35" i="8" s="1"/>
  <c r="AB35" i="8" s="1"/>
  <c r="AP35" i="8" s="1"/>
  <c r="Z88" i="8"/>
  <c r="AA88" i="8" s="1"/>
  <c r="AB88" i="8" s="1"/>
  <c r="AP88" i="8" s="1"/>
  <c r="Z51" i="8"/>
  <c r="AA51" i="8" s="1"/>
  <c r="AB51" i="8" s="1"/>
  <c r="AP51" i="8" s="1"/>
  <c r="Z39" i="8"/>
  <c r="AA39" i="8" s="1"/>
  <c r="AB39" i="8" s="1"/>
  <c r="AP39" i="8" s="1"/>
  <c r="Z89" i="8"/>
  <c r="AA89" i="8" s="1"/>
  <c r="AB89" i="8" s="1"/>
  <c r="AP89" i="8" s="1"/>
  <c r="Z110" i="8"/>
  <c r="AA110" i="8" s="1"/>
  <c r="AB110" i="8" s="1"/>
  <c r="AP110" i="8" s="1"/>
  <c r="Z92" i="8"/>
  <c r="AA92" i="8" s="1"/>
  <c r="AB92" i="8" s="1"/>
  <c r="AP92" i="8" s="1"/>
  <c r="Z83" i="8"/>
  <c r="AA83" i="8" s="1"/>
  <c r="AB83" i="8" s="1"/>
  <c r="AP83" i="8" s="1"/>
  <c r="Z80" i="8"/>
  <c r="AA80" i="8" s="1"/>
  <c r="AB80" i="8" s="1"/>
  <c r="AP80" i="8" s="1"/>
  <c r="Z67" i="8"/>
  <c r="AA67" i="8" s="1"/>
  <c r="AB67" i="8" s="1"/>
  <c r="AP67" i="8" s="1"/>
  <c r="AD118" i="8"/>
  <c r="AO118" i="8" s="1"/>
  <c r="AC118" i="8"/>
  <c r="AK118" i="8"/>
  <c r="AJ118" i="8"/>
  <c r="AG118" i="8"/>
  <c r="AI118" i="8"/>
  <c r="AD101" i="8"/>
  <c r="AO101" i="8" s="1"/>
  <c r="AC101" i="8"/>
  <c r="AJ101" i="8"/>
  <c r="AK101" i="8"/>
  <c r="AI101" i="8"/>
  <c r="AG101" i="8"/>
  <c r="Z43" i="8"/>
  <c r="AA43" i="8" s="1"/>
  <c r="AB43" i="8" s="1"/>
  <c r="AP43" i="8" s="1"/>
  <c r="AC47" i="8"/>
  <c r="AD47" i="8"/>
  <c r="AO47" i="8" s="1"/>
  <c r="AJ47" i="8"/>
  <c r="AK47" i="8"/>
  <c r="AG47" i="8"/>
  <c r="AI47" i="8"/>
  <c r="Z124" i="8"/>
  <c r="AA124" i="8" s="1"/>
  <c r="AB124" i="8" s="1"/>
  <c r="AP124" i="8" s="1"/>
  <c r="AD92" i="8"/>
  <c r="AO92" i="8" s="1"/>
  <c r="AC92" i="8"/>
  <c r="AK92" i="8"/>
  <c r="AI92" i="8"/>
  <c r="AJ92" i="8"/>
  <c r="AG92" i="8"/>
  <c r="Z114" i="8"/>
  <c r="AA114" i="8" s="1"/>
  <c r="AB114" i="8" s="1"/>
  <c r="AP114" i="8" s="1"/>
  <c r="Z85" i="8"/>
  <c r="AA85" i="8" s="1"/>
  <c r="AB85" i="8" s="1"/>
  <c r="AP85" i="8" s="1"/>
  <c r="AD88" i="8"/>
  <c r="AO88" i="8" s="1"/>
  <c r="AC88" i="8"/>
  <c r="AI88" i="8"/>
  <c r="AK88" i="8"/>
  <c r="AG88" i="8"/>
  <c r="AJ88" i="8"/>
  <c r="AD67" i="8"/>
  <c r="AO67" i="8" s="1"/>
  <c r="AC67" i="8"/>
  <c r="AI67" i="8"/>
  <c r="AG67" i="8"/>
  <c r="AJ67" i="8"/>
  <c r="AK67" i="8"/>
  <c r="Z69" i="8"/>
  <c r="AA69" i="8" s="1"/>
  <c r="AB69" i="8" s="1"/>
  <c r="AP69" i="8" s="1"/>
  <c r="Z90" i="8"/>
  <c r="AA90" i="8" s="1"/>
  <c r="AB90" i="8" s="1"/>
  <c r="AP90" i="8" s="1"/>
  <c r="AD94" i="8"/>
  <c r="AO94" i="8" s="1"/>
  <c r="AC94" i="8"/>
  <c r="AI94" i="8"/>
  <c r="AK94" i="8"/>
  <c r="AG94" i="8"/>
  <c r="AJ94" i="8"/>
  <c r="Z101" i="8"/>
  <c r="AA101" i="8" s="1"/>
  <c r="AB101" i="8" s="1"/>
  <c r="AP101" i="8" s="1"/>
  <c r="AD31" i="8"/>
  <c r="AO31" i="8" s="1"/>
  <c r="AC31" i="8"/>
  <c r="AI31" i="8"/>
  <c r="AG31" i="8"/>
  <c r="AK31" i="8"/>
  <c r="AJ31" i="8"/>
  <c r="Z27" i="8"/>
  <c r="AA27" i="8" s="1"/>
  <c r="AB27" i="8" s="1"/>
  <c r="AP27" i="8" s="1"/>
  <c r="AD112" i="8"/>
  <c r="AO112" i="8" s="1"/>
  <c r="AC112" i="8"/>
  <c r="AG112" i="8"/>
  <c r="AK112" i="8"/>
  <c r="AJ112" i="8"/>
  <c r="AI112" i="8"/>
  <c r="AD81" i="8"/>
  <c r="AC81" i="8"/>
  <c r="AK81" i="8"/>
  <c r="AJ81" i="8"/>
  <c r="AI81" i="8"/>
  <c r="AG81" i="8"/>
  <c r="AD90" i="8"/>
  <c r="AO90" i="8" s="1"/>
  <c r="AC90" i="8"/>
  <c r="AG90" i="8"/>
  <c r="AI90" i="8"/>
  <c r="AJ90" i="8"/>
  <c r="AK90" i="8"/>
  <c r="Z118" i="8"/>
  <c r="AA118" i="8" s="1"/>
  <c r="AB118" i="8" s="1"/>
  <c r="AP118" i="8" s="1"/>
  <c r="AC27" i="8"/>
  <c r="AD27" i="8"/>
  <c r="AO27" i="8" s="1"/>
  <c r="AI27" i="8"/>
  <c r="AG27" i="8"/>
  <c r="AK27" i="8"/>
  <c r="AJ27" i="8"/>
  <c r="AD124" i="8"/>
  <c r="AO124" i="8" s="1"/>
  <c r="AC124" i="8"/>
  <c r="AJ124" i="8"/>
  <c r="AK124" i="8"/>
  <c r="AG124" i="8"/>
  <c r="AI124" i="8"/>
  <c r="AD114" i="8"/>
  <c r="AO114" i="8" s="1"/>
  <c r="AC114" i="8"/>
  <c r="AK114" i="8"/>
  <c r="AJ114" i="8"/>
  <c r="AI114" i="8"/>
  <c r="AG114" i="8"/>
  <c r="AD85" i="8"/>
  <c r="AO85" i="8" s="1"/>
  <c r="AC85" i="8"/>
  <c r="AG85" i="8"/>
  <c r="AK85" i="8"/>
  <c r="AJ85" i="8"/>
  <c r="AI85" i="8"/>
  <c r="AD117" i="8"/>
  <c r="AO117" i="8" s="1"/>
  <c r="AC117" i="8"/>
  <c r="AJ117" i="8"/>
  <c r="AI117" i="8"/>
  <c r="AK117" i="8"/>
  <c r="AG117" i="8"/>
  <c r="AC66" i="8"/>
  <c r="AD66" i="8"/>
  <c r="AO66" i="8" s="1"/>
  <c r="AJ66" i="8"/>
  <c r="AK66" i="8"/>
  <c r="AG66" i="8"/>
  <c r="AI66" i="8"/>
  <c r="AD51" i="8"/>
  <c r="AO51" i="8" s="1"/>
  <c r="AC51" i="8"/>
  <c r="AI51" i="8"/>
  <c r="AJ51" i="8"/>
  <c r="AK51" i="8"/>
  <c r="AG51" i="8"/>
  <c r="AD69" i="8"/>
  <c r="AO69" i="8" s="1"/>
  <c r="AC69" i="8"/>
  <c r="AJ69" i="8"/>
  <c r="AK69" i="8"/>
  <c r="AG69" i="8"/>
  <c r="AI69" i="8"/>
  <c r="AD110" i="8"/>
  <c r="AO110" i="8" s="1"/>
  <c r="AC110" i="8"/>
  <c r="AK110" i="8"/>
  <c r="AJ110" i="8"/>
  <c r="AG110" i="8"/>
  <c r="AI110" i="8"/>
  <c r="Z94" i="8"/>
  <c r="AA94" i="8" s="1"/>
  <c r="AB94" i="8" s="1"/>
  <c r="AP94" i="8" s="1"/>
  <c r="Z106" i="8"/>
  <c r="AA106" i="8" s="1"/>
  <c r="AB106" i="8" s="1"/>
  <c r="AP106" i="8" s="1"/>
  <c r="AC43" i="8"/>
  <c r="AD43" i="8"/>
  <c r="AO43" i="8" s="1"/>
  <c r="AG43" i="8"/>
  <c r="AJ43" i="8"/>
  <c r="AK43" i="8"/>
  <c r="AI43" i="8"/>
  <c r="AD33" i="8"/>
  <c r="AO33" i="8" s="1"/>
  <c r="AC33" i="8"/>
  <c r="AI33" i="8"/>
  <c r="AG33" i="8"/>
  <c r="AK33" i="8"/>
  <c r="AJ33" i="8"/>
  <c r="AC60" i="8"/>
  <c r="AD60" i="8"/>
  <c r="AO60" i="8" s="1"/>
  <c r="AK60" i="8"/>
  <c r="AJ60" i="8"/>
  <c r="AI60" i="8"/>
  <c r="AG60" i="8"/>
  <c r="AC102" i="8"/>
  <c r="AD102" i="8"/>
  <c r="AO102" i="8" s="1"/>
  <c r="AJ102" i="8"/>
  <c r="AK102" i="8"/>
  <c r="AG102" i="8"/>
  <c r="AI102" i="8"/>
  <c r="AD120" i="8"/>
  <c r="AO120" i="8" s="1"/>
  <c r="AC120" i="8"/>
  <c r="AG120" i="8"/>
  <c r="AI120" i="8"/>
  <c r="AK120" i="8"/>
  <c r="AJ120" i="8"/>
  <c r="AD98" i="8"/>
  <c r="AO98" i="8" s="1"/>
  <c r="AC98" i="8"/>
  <c r="AK98" i="8"/>
  <c r="AJ98" i="8"/>
  <c r="AG98" i="8"/>
  <c r="AI98" i="8"/>
  <c r="Z109" i="8"/>
  <c r="AA109" i="8" s="1"/>
  <c r="AB109" i="8" s="1"/>
  <c r="AP109" i="8" s="1"/>
  <c r="Z33" i="8"/>
  <c r="AA33" i="8" s="1"/>
  <c r="AB33" i="8" s="1"/>
  <c r="AP33" i="8" s="1"/>
  <c r="AD53" i="8"/>
  <c r="AO53" i="8" s="1"/>
  <c r="AC53" i="8"/>
  <c r="AG53" i="8"/>
  <c r="AI53" i="8"/>
  <c r="AK53" i="8"/>
  <c r="AJ53" i="8"/>
  <c r="AD119" i="8"/>
  <c r="AO119" i="8" s="1"/>
  <c r="AC119" i="8"/>
  <c r="AJ119" i="8"/>
  <c r="AG119" i="8"/>
  <c r="AI119" i="8"/>
  <c r="AK119" i="8"/>
  <c r="AD39" i="8"/>
  <c r="AO39" i="8" s="1"/>
  <c r="AC39" i="8"/>
  <c r="AJ39" i="8"/>
  <c r="AI39" i="8"/>
  <c r="AK39" i="8"/>
  <c r="AG39" i="8"/>
  <c r="Z60" i="8"/>
  <c r="AA60" i="8" s="1"/>
  <c r="AB60" i="8" s="1"/>
  <c r="AP60" i="8" s="1"/>
  <c r="AD122" i="8"/>
  <c r="AO122" i="8" s="1"/>
  <c r="AC122" i="8"/>
  <c r="AJ122" i="8"/>
  <c r="AG122" i="8"/>
  <c r="AK122" i="8"/>
  <c r="AI122" i="8"/>
  <c r="Z102" i="8"/>
  <c r="AA102" i="8" s="1"/>
  <c r="AB102" i="8" s="1"/>
  <c r="AP102" i="8" s="1"/>
  <c r="AD29" i="8"/>
  <c r="AO29" i="8" s="1"/>
  <c r="AC29" i="8"/>
  <c r="AI29" i="8"/>
  <c r="AG29" i="8"/>
  <c r="AJ29" i="8"/>
  <c r="AK29" i="8"/>
  <c r="AD75" i="8"/>
  <c r="AO75" i="8" s="1"/>
  <c r="AC75" i="8"/>
  <c r="AG75" i="8"/>
  <c r="AK75" i="8"/>
  <c r="AI75" i="8"/>
  <c r="AJ75" i="8"/>
  <c r="AD93" i="8"/>
  <c r="AO93" i="8" s="1"/>
  <c r="AC93" i="8"/>
  <c r="AG93" i="8"/>
  <c r="AI93" i="8"/>
  <c r="AJ93" i="8"/>
  <c r="AK93" i="8"/>
  <c r="AD77" i="8"/>
  <c r="AO77" i="8" s="1"/>
  <c r="AC77" i="8"/>
  <c r="AK77" i="8"/>
  <c r="AJ77" i="8"/>
  <c r="AG77" i="8"/>
  <c r="AI77" i="8"/>
  <c r="AD109" i="8"/>
  <c r="AO109" i="8" s="1"/>
  <c r="AC109" i="8"/>
  <c r="AK109" i="8"/>
  <c r="AJ109" i="8"/>
  <c r="AI109" i="8"/>
  <c r="AG109" i="8"/>
  <c r="AD106" i="8"/>
  <c r="AO106" i="8" s="1"/>
  <c r="AC106" i="8"/>
  <c r="AJ106" i="8"/>
  <c r="AK106" i="8"/>
  <c r="AI106" i="8"/>
  <c r="AG106" i="8"/>
  <c r="Z120" i="8"/>
  <c r="AA120" i="8" s="1"/>
  <c r="AB120" i="8" s="1"/>
  <c r="AP120" i="8" s="1"/>
  <c r="AD35" i="8"/>
  <c r="AO35" i="8" s="1"/>
  <c r="AC35" i="8"/>
  <c r="AK35" i="8"/>
  <c r="AJ35" i="8"/>
  <c r="AI35" i="8"/>
  <c r="AG35" i="8"/>
  <c r="AD83" i="8"/>
  <c r="AO83" i="8" s="1"/>
  <c r="AC83" i="8"/>
  <c r="AJ83" i="8"/>
  <c r="AK83" i="8"/>
  <c r="AI83" i="8"/>
  <c r="AG83" i="8"/>
  <c r="Z53" i="8"/>
  <c r="AA53" i="8" s="1"/>
  <c r="AB53" i="8" s="1"/>
  <c r="AP53" i="8" s="1"/>
  <c r="AC104" i="8"/>
  <c r="AD104" i="8"/>
  <c r="AO104" i="8" s="1"/>
  <c r="AG104" i="8"/>
  <c r="AK104" i="8"/>
  <c r="AJ104" i="8"/>
  <c r="AI104" i="8"/>
  <c r="AD73" i="8"/>
  <c r="AO73" i="8" s="1"/>
  <c r="AC73" i="8"/>
  <c r="AK73" i="8"/>
  <c r="AJ73" i="8"/>
  <c r="AI73" i="8"/>
  <c r="AG73" i="8"/>
  <c r="Z119" i="8"/>
  <c r="AA119" i="8" s="1"/>
  <c r="AB119" i="8" s="1"/>
  <c r="AP119" i="8" s="1"/>
  <c r="Z71" i="8"/>
  <c r="AA71" i="8" s="1"/>
  <c r="AB71" i="8" s="1"/>
  <c r="AP71" i="8" s="1"/>
  <c r="Z122" i="8"/>
  <c r="AA122" i="8" s="1"/>
  <c r="AB122" i="8" s="1"/>
  <c r="AP122" i="8" s="1"/>
  <c r="Z29" i="8"/>
  <c r="AA29" i="8" s="1"/>
  <c r="AB29" i="8" s="1"/>
  <c r="AP29" i="8" s="1"/>
  <c r="AD89" i="8"/>
  <c r="AO89" i="8" s="1"/>
  <c r="AC89" i="8"/>
  <c r="AG89" i="8"/>
  <c r="AJ89" i="8"/>
  <c r="AK89" i="8"/>
  <c r="AI89" i="8"/>
  <c r="AD87" i="8"/>
  <c r="AO87" i="8" s="1"/>
  <c r="AC87" i="8"/>
  <c r="AJ87" i="8"/>
  <c r="AI87" i="8"/>
  <c r="AG87" i="8"/>
  <c r="AK87" i="8"/>
  <c r="AD79" i="8"/>
  <c r="AO79" i="8" s="1"/>
  <c r="AC79" i="8"/>
  <c r="AG79" i="8"/>
  <c r="AI79" i="8"/>
  <c r="AK79" i="8"/>
  <c r="AJ79" i="8"/>
  <c r="AD91" i="8"/>
  <c r="AO91" i="8" s="1"/>
  <c r="AC91" i="8"/>
  <c r="AG91" i="8"/>
  <c r="AK91" i="8"/>
  <c r="AI91" i="8"/>
  <c r="AJ91" i="8"/>
  <c r="Z93" i="8"/>
  <c r="AA93" i="8" s="1"/>
  <c r="AB93" i="8" s="1"/>
  <c r="AP93" i="8" s="1"/>
  <c r="AC80" i="8"/>
  <c r="AD80" i="8"/>
  <c r="AO80" i="8" s="1"/>
  <c r="AK80" i="8"/>
  <c r="AI80" i="8"/>
  <c r="AJ80" i="8"/>
  <c r="AG80" i="8"/>
  <c r="AC125" i="8"/>
  <c r="AD125" i="8"/>
  <c r="AO125" i="8" s="1"/>
  <c r="AJ125" i="8"/>
  <c r="AI125" i="8"/>
  <c r="AK125" i="8"/>
  <c r="AG125" i="8"/>
  <c r="AD71" i="8"/>
  <c r="AO71" i="8" s="1"/>
  <c r="AC71" i="8"/>
  <c r="AI71" i="8"/>
  <c r="AJ71" i="8"/>
  <c r="AK71" i="8"/>
  <c r="AG71" i="8"/>
  <c r="Z112" i="8"/>
  <c r="AA112" i="8" s="1"/>
  <c r="AB112" i="8" s="1"/>
  <c r="AP112" i="8" s="1"/>
  <c r="Z87" i="8"/>
  <c r="AA87" i="8" s="1"/>
  <c r="AB87" i="8" s="1"/>
  <c r="AP87" i="8" s="1"/>
  <c r="Z77" i="8"/>
  <c r="AA77" i="8" s="1"/>
  <c r="AB77" i="8" s="1"/>
  <c r="AP77" i="8" s="1"/>
  <c r="Z81" i="8"/>
  <c r="AA81" i="8" s="1"/>
  <c r="AB81" i="8" s="1"/>
  <c r="AP81" i="8" s="1"/>
  <c r="AD64" i="8"/>
  <c r="AO64" i="8" s="1"/>
  <c r="AC64" i="8"/>
  <c r="AK64" i="8"/>
  <c r="AJ64" i="8"/>
  <c r="AG64" i="8"/>
  <c r="AI64" i="8"/>
  <c r="Z79" i="8"/>
  <c r="AA79" i="8" s="1"/>
  <c r="AB79" i="8" s="1"/>
  <c r="AP79" i="8" s="1"/>
  <c r="AD64" i="7"/>
  <c r="AO64" i="7" s="1"/>
  <c r="AC64" i="7"/>
  <c r="AI64" i="7"/>
  <c r="AG64" i="7"/>
  <c r="AJ64" i="7"/>
  <c r="AK64" i="7"/>
  <c r="AC36" i="7"/>
  <c r="AD36" i="7"/>
  <c r="AO36" i="7" s="1"/>
  <c r="AK36" i="7"/>
  <c r="AJ36" i="7"/>
  <c r="AG36" i="7"/>
  <c r="AI36" i="7"/>
  <c r="AD45" i="7"/>
  <c r="AO45" i="7" s="1"/>
  <c r="AC45" i="7"/>
  <c r="AJ45" i="7"/>
  <c r="AG45" i="7"/>
  <c r="AI45" i="7"/>
  <c r="AK45" i="7"/>
  <c r="Z44" i="7"/>
  <c r="AD63" i="7"/>
  <c r="AO63" i="7" s="1"/>
  <c r="AC63" i="7"/>
  <c r="AK63" i="7"/>
  <c r="AJ63" i="7"/>
  <c r="AG63" i="7"/>
  <c r="AI63" i="7"/>
  <c r="Z100" i="7"/>
  <c r="AD48" i="7"/>
  <c r="AO48" i="7" s="1"/>
  <c r="AC48" i="7"/>
  <c r="AI48" i="7"/>
  <c r="AG48" i="7"/>
  <c r="AK48" i="7"/>
  <c r="AJ48" i="7"/>
  <c r="AD49" i="7"/>
  <c r="AO49" i="7" s="1"/>
  <c r="AC49" i="7"/>
  <c r="AJ49" i="7"/>
  <c r="AI49" i="7"/>
  <c r="AK49" i="7"/>
  <c r="AG49" i="7"/>
  <c r="AD99" i="7"/>
  <c r="AO99" i="7" s="1"/>
  <c r="AC99" i="7"/>
  <c r="AG99" i="7"/>
  <c r="AK99" i="7"/>
  <c r="AJ99" i="7"/>
  <c r="AI99" i="7"/>
  <c r="Z102" i="7"/>
  <c r="AD93" i="7"/>
  <c r="AO93" i="7" s="1"/>
  <c r="AC93" i="7"/>
  <c r="AG93" i="7"/>
  <c r="AJ93" i="7"/>
  <c r="AK93" i="7"/>
  <c r="AI93" i="7"/>
  <c r="AD46" i="7"/>
  <c r="AO46" i="7" s="1"/>
  <c r="AC46" i="7"/>
  <c r="AK46" i="7"/>
  <c r="AJ46" i="7"/>
  <c r="AI46" i="7"/>
  <c r="AG46" i="7"/>
  <c r="AD91" i="7"/>
  <c r="AO91" i="7" s="1"/>
  <c r="AC91" i="7"/>
  <c r="AK91" i="7"/>
  <c r="AG91" i="7"/>
  <c r="AI91" i="7"/>
  <c r="AJ91" i="7"/>
  <c r="AD26" i="7"/>
  <c r="AO26" i="7" s="1"/>
  <c r="AC26" i="7"/>
  <c r="AK26" i="7"/>
  <c r="AI26" i="7"/>
  <c r="AJ26" i="7"/>
  <c r="AG26" i="7"/>
  <c r="AD87" i="7"/>
  <c r="AO87" i="7" s="1"/>
  <c r="AC87" i="7"/>
  <c r="AG87" i="7"/>
  <c r="AK87" i="7"/>
  <c r="AJ87" i="7"/>
  <c r="AI87" i="7"/>
  <c r="AD97" i="7"/>
  <c r="AO97" i="7" s="1"/>
  <c r="AC97" i="7"/>
  <c r="AK97" i="7"/>
  <c r="AI97" i="7"/>
  <c r="AJ97" i="7"/>
  <c r="AG97" i="7"/>
  <c r="AD92" i="7"/>
  <c r="AO92" i="7" s="1"/>
  <c r="AC92" i="7"/>
  <c r="AG92" i="7"/>
  <c r="AK92" i="7"/>
  <c r="AI92" i="7"/>
  <c r="AJ92" i="7"/>
  <c r="Z48" i="7"/>
  <c r="AD86" i="7"/>
  <c r="AO86" i="7" s="1"/>
  <c r="AC86" i="7"/>
  <c r="AI86" i="7"/>
  <c r="AK86" i="7"/>
  <c r="AG86" i="7"/>
  <c r="AJ86" i="7"/>
  <c r="AO53" i="7"/>
  <c r="AC53" i="7"/>
  <c r="AJ53" i="7"/>
  <c r="AK53" i="7"/>
  <c r="AG53" i="7"/>
  <c r="AI53" i="7"/>
  <c r="Z51" i="7"/>
  <c r="Z46" i="7"/>
  <c r="AD43" i="7"/>
  <c r="AO43" i="7" s="1"/>
  <c r="AC43" i="7"/>
  <c r="AK43" i="7"/>
  <c r="AJ43" i="7"/>
  <c r="AI43" i="7"/>
  <c r="AG43" i="7"/>
  <c r="Z64" i="7"/>
  <c r="AC102" i="7"/>
  <c r="AD102" i="7"/>
  <c r="AO102" i="7" s="1"/>
  <c r="AG102" i="7"/>
  <c r="AI102" i="7"/>
  <c r="AK102" i="7"/>
  <c r="AJ102" i="7"/>
  <c r="AD88" i="7"/>
  <c r="AO88" i="7" s="1"/>
  <c r="AC88" i="7"/>
  <c r="AG88" i="7"/>
  <c r="AI88" i="7"/>
  <c r="AK88" i="7"/>
  <c r="AJ88" i="7"/>
  <c r="AC40" i="7"/>
  <c r="AD40" i="7"/>
  <c r="AO40" i="7" s="1"/>
  <c r="AG40" i="7"/>
  <c r="AK40" i="7"/>
  <c r="AI40" i="7"/>
  <c r="AJ40" i="7"/>
  <c r="AC62" i="7"/>
  <c r="AD62" i="7"/>
  <c r="AO62" i="7" s="1"/>
  <c r="AG62" i="7"/>
  <c r="AI62" i="7"/>
  <c r="AK62" i="7"/>
  <c r="AJ62" i="7"/>
  <c r="Z40" i="7"/>
  <c r="Z30" i="7"/>
  <c r="AD27" i="7"/>
  <c r="AO27" i="7" s="1"/>
  <c r="AC27" i="7"/>
  <c r="AK27" i="7"/>
  <c r="AJ27" i="7"/>
  <c r="AG27" i="7"/>
  <c r="AI27" i="7"/>
  <c r="Z52" i="7"/>
  <c r="AD90" i="7"/>
  <c r="AO90" i="7" s="1"/>
  <c r="AC90" i="7"/>
  <c r="AJ90" i="7"/>
  <c r="AI90" i="7"/>
  <c r="AG90" i="7"/>
  <c r="AK90" i="7"/>
  <c r="AD69" i="7"/>
  <c r="AO69" i="7" s="1"/>
  <c r="AC69" i="7"/>
  <c r="AK69" i="7"/>
  <c r="AJ69" i="7"/>
  <c r="AG69" i="7"/>
  <c r="AI69" i="7"/>
  <c r="AC44" i="7"/>
  <c r="AD44" i="7"/>
  <c r="AO44" i="7" s="1"/>
  <c r="AG44" i="7"/>
  <c r="AK44" i="7"/>
  <c r="AJ44" i="7"/>
  <c r="AI44" i="7"/>
  <c r="AD89" i="7"/>
  <c r="AO89" i="7" s="1"/>
  <c r="AC89" i="7"/>
  <c r="AG89" i="7"/>
  <c r="AJ89" i="7"/>
  <c r="AK89" i="7"/>
  <c r="AI89" i="7"/>
  <c r="AD100" i="7"/>
  <c r="AO100" i="7" s="1"/>
  <c r="AC100" i="7"/>
  <c r="AG100" i="7"/>
  <c r="AK100" i="7"/>
  <c r="AI100" i="7"/>
  <c r="AJ100" i="7"/>
  <c r="Z36" i="7"/>
  <c r="AD61" i="7"/>
  <c r="AO61" i="7" s="1"/>
  <c r="AC61" i="7"/>
  <c r="AG61" i="7"/>
  <c r="AI61" i="7"/>
  <c r="AK61" i="7"/>
  <c r="AJ61" i="7"/>
  <c r="AD67" i="7"/>
  <c r="AO67" i="7" s="1"/>
  <c r="AC67" i="7"/>
  <c r="AG67" i="7"/>
  <c r="AK67" i="7"/>
  <c r="AI67" i="7"/>
  <c r="AJ67" i="7"/>
  <c r="AC30" i="7"/>
  <c r="AD30" i="7"/>
  <c r="AO30" i="7" s="1"/>
  <c r="AI30" i="7"/>
  <c r="AK30" i="7"/>
  <c r="AG30" i="7"/>
  <c r="AJ30" i="7"/>
  <c r="AD98" i="7"/>
  <c r="AO98" i="7" s="1"/>
  <c r="AC98" i="7"/>
  <c r="AJ98" i="7"/>
  <c r="AK98" i="7"/>
  <c r="AG98" i="7"/>
  <c r="AI98" i="7"/>
  <c r="AD34" i="7"/>
  <c r="AO34" i="7" s="1"/>
  <c r="AC34" i="7"/>
  <c r="AJ34" i="7"/>
  <c r="AI34" i="7"/>
  <c r="AG34" i="7"/>
  <c r="AK34" i="7"/>
  <c r="Z62" i="7"/>
  <c r="AD42" i="7"/>
  <c r="AO42" i="7" s="1"/>
  <c r="AC42" i="7"/>
  <c r="AK42" i="7"/>
  <c r="AI42" i="7"/>
  <c r="AG42" i="7"/>
  <c r="AJ42" i="7"/>
  <c r="Z98" i="7"/>
  <c r="AD95" i="7"/>
  <c r="AO95" i="7" s="1"/>
  <c r="AC95" i="7"/>
  <c r="AG95" i="7"/>
  <c r="AK95" i="7"/>
  <c r="AI95" i="7"/>
  <c r="AJ95" i="7"/>
  <c r="Z34" i="7"/>
  <c r="AD94" i="7"/>
  <c r="AO94" i="7" s="1"/>
  <c r="AC94" i="7"/>
  <c r="AI94" i="7"/>
  <c r="AJ94" i="7"/>
  <c r="AG94" i="7"/>
  <c r="AK94" i="7"/>
  <c r="AD41" i="7"/>
  <c r="AO41" i="7" s="1"/>
  <c r="AC41" i="7"/>
  <c r="AJ41" i="7"/>
  <c r="AK41" i="7"/>
  <c r="AI41" i="7"/>
  <c r="AG41" i="7"/>
  <c r="AD47" i="7"/>
  <c r="AO47" i="7" s="1"/>
  <c r="AC47" i="7"/>
  <c r="AJ47" i="7"/>
  <c r="AK47" i="7"/>
  <c r="AI47" i="7"/>
  <c r="AG47" i="7"/>
  <c r="Z90" i="7"/>
  <c r="AD51" i="7"/>
  <c r="AO51" i="7" s="1"/>
  <c r="AC51" i="7"/>
  <c r="AJ51" i="7"/>
  <c r="AK51" i="7"/>
  <c r="AI51" i="7"/>
  <c r="AG51" i="7"/>
  <c r="AD52" i="7"/>
  <c r="AO52" i="7" s="1"/>
  <c r="AC52" i="7"/>
  <c r="AK52" i="7"/>
  <c r="AI52" i="7"/>
  <c r="AG52" i="7"/>
  <c r="AJ52" i="7"/>
  <c r="Z88" i="7"/>
  <c r="Z42" i="7"/>
  <c r="AD96" i="7"/>
  <c r="AO96" i="7" s="1"/>
  <c r="AC96" i="7"/>
  <c r="AK96" i="7"/>
  <c r="AI96" i="7"/>
  <c r="AG96" i="7"/>
  <c r="AJ96" i="7"/>
  <c r="Z69" i="7"/>
  <c r="AC37" i="7"/>
  <c r="AD37" i="7"/>
  <c r="AO37" i="7" s="1"/>
  <c r="AI37" i="7"/>
  <c r="AG37" i="7"/>
  <c r="AK37" i="7"/>
  <c r="AJ37" i="7"/>
  <c r="Z94" i="7"/>
  <c r="Z45" i="7"/>
  <c r="AD28" i="7"/>
  <c r="AO28" i="7" s="1"/>
  <c r="AC28" i="7"/>
  <c r="AK28" i="7"/>
  <c r="AJ28" i="7"/>
  <c r="AI28" i="7"/>
  <c r="AG28" i="7"/>
  <c r="AD65" i="7"/>
  <c r="AO65" i="7" s="1"/>
  <c r="AC65" i="7"/>
  <c r="AJ65" i="7"/>
  <c r="AK65" i="7"/>
  <c r="AG65" i="7"/>
  <c r="AI65" i="7"/>
  <c r="Z89" i="7"/>
  <c r="AD101" i="7"/>
  <c r="AO101" i="7" s="1"/>
  <c r="AC101" i="7"/>
  <c r="AG101" i="7"/>
  <c r="AJ101" i="7"/>
  <c r="AI101" i="7"/>
  <c r="AK101" i="7"/>
  <c r="AO81" i="8" l="1"/>
  <c r="AM81" i="8"/>
  <c r="AM95" i="7"/>
  <c r="AM61" i="7"/>
  <c r="AA37" i="7"/>
  <c r="AB37" i="7" s="1"/>
  <c r="AP37" i="7" s="1"/>
  <c r="AM37" i="7"/>
  <c r="AA53" i="7"/>
  <c r="AB53" i="7" s="1"/>
  <c r="AP53" i="7" s="1"/>
  <c r="AM53" i="7"/>
  <c r="AA44" i="7"/>
  <c r="AB44" i="7" s="1"/>
  <c r="AP44" i="7" s="1"/>
  <c r="AM44" i="7"/>
  <c r="AA92" i="7"/>
  <c r="AB92" i="7" s="1"/>
  <c r="AP92" i="7" s="1"/>
  <c r="AM92" i="7"/>
  <c r="AA91" i="7"/>
  <c r="AB91" i="7" s="1"/>
  <c r="AP91" i="7" s="1"/>
  <c r="AM91" i="7"/>
  <c r="AA63" i="7"/>
  <c r="AB63" i="7" s="1"/>
  <c r="AP63" i="7" s="1"/>
  <c r="AM63" i="7"/>
  <c r="AA64" i="7"/>
  <c r="AB64" i="7" s="1"/>
  <c r="AP64" i="7" s="1"/>
  <c r="AM64" i="7"/>
  <c r="AA62" i="7"/>
  <c r="AB62" i="7" s="1"/>
  <c r="AP62" i="7" s="1"/>
  <c r="AM62" i="7"/>
  <c r="AA87" i="7"/>
  <c r="AB87" i="7" s="1"/>
  <c r="AP87" i="7" s="1"/>
  <c r="AM87" i="7"/>
  <c r="AA42" i="7"/>
  <c r="AB42" i="7" s="1"/>
  <c r="AP42" i="7" s="1"/>
  <c r="AM42" i="7"/>
  <c r="AA98" i="7"/>
  <c r="AB98" i="7" s="1"/>
  <c r="AP98" i="7" s="1"/>
  <c r="AM98" i="7"/>
  <c r="AA45" i="7"/>
  <c r="AB45" i="7" s="1"/>
  <c r="AP45" i="7" s="1"/>
  <c r="AM45" i="7"/>
  <c r="AA69" i="7"/>
  <c r="AB69" i="7" s="1"/>
  <c r="AP69" i="7" s="1"/>
  <c r="AM69" i="7"/>
  <c r="AA88" i="7"/>
  <c r="AB88" i="7" s="1"/>
  <c r="AP88" i="7" s="1"/>
  <c r="AM88" i="7"/>
  <c r="AA34" i="7"/>
  <c r="AB34" i="7" s="1"/>
  <c r="AP34" i="7" s="1"/>
  <c r="AM34" i="7"/>
  <c r="AA100" i="7"/>
  <c r="AB100" i="7" s="1"/>
  <c r="AP100" i="7" s="1"/>
  <c r="AM100" i="7"/>
  <c r="AA86" i="7"/>
  <c r="AB86" i="7" s="1"/>
  <c r="AP86" i="7" s="1"/>
  <c r="AM86" i="7"/>
  <c r="AA65" i="7"/>
  <c r="AB65" i="7" s="1"/>
  <c r="AP65" i="7" s="1"/>
  <c r="AM65" i="7"/>
  <c r="AA51" i="7"/>
  <c r="AB51" i="7" s="1"/>
  <c r="AP51" i="7" s="1"/>
  <c r="AM51" i="7"/>
  <c r="AA94" i="7"/>
  <c r="AB94" i="7" s="1"/>
  <c r="AP94" i="7" s="1"/>
  <c r="AM94" i="7"/>
  <c r="AA99" i="7"/>
  <c r="AB99" i="7" s="1"/>
  <c r="AP99" i="7" s="1"/>
  <c r="AM99" i="7"/>
  <c r="AA49" i="7"/>
  <c r="AB49" i="7" s="1"/>
  <c r="AP49" i="7" s="1"/>
  <c r="AM49" i="7"/>
  <c r="AA90" i="7"/>
  <c r="AB90" i="7" s="1"/>
  <c r="AP90" i="7" s="1"/>
  <c r="AM90" i="7"/>
  <c r="AA36" i="7"/>
  <c r="AB36" i="7" s="1"/>
  <c r="AP36" i="7" s="1"/>
  <c r="AM36" i="7"/>
  <c r="AA102" i="7"/>
  <c r="AB102" i="7" s="1"/>
  <c r="AP102" i="7" s="1"/>
  <c r="AM102" i="7"/>
  <c r="AA97" i="7"/>
  <c r="AB97" i="7" s="1"/>
  <c r="AP97" i="7" s="1"/>
  <c r="AM97" i="7"/>
  <c r="AA43" i="7"/>
  <c r="AB43" i="7" s="1"/>
  <c r="AP43" i="7" s="1"/>
  <c r="AM43" i="7"/>
  <c r="AA48" i="7"/>
  <c r="AB48" i="7" s="1"/>
  <c r="AP48" i="7" s="1"/>
  <c r="AM48" i="7"/>
  <c r="AA96" i="7"/>
  <c r="AB96" i="7" s="1"/>
  <c r="AP96" i="7" s="1"/>
  <c r="AM96" i="7"/>
  <c r="AA47" i="7"/>
  <c r="AB47" i="7" s="1"/>
  <c r="AP47" i="7" s="1"/>
  <c r="AM47" i="7"/>
  <c r="AA89" i="7"/>
  <c r="AB89" i="7" s="1"/>
  <c r="AP89" i="7" s="1"/>
  <c r="AM89" i="7"/>
  <c r="AA30" i="7"/>
  <c r="AB30" i="7" s="1"/>
  <c r="AP30" i="7" s="1"/>
  <c r="AM30" i="7"/>
  <c r="AA101" i="7"/>
  <c r="AB101" i="7" s="1"/>
  <c r="AP101" i="7" s="1"/>
  <c r="AM101" i="7"/>
  <c r="AA41" i="7"/>
  <c r="AB41" i="7" s="1"/>
  <c r="AP41" i="7" s="1"/>
  <c r="AM41" i="7"/>
  <c r="AA52" i="7"/>
  <c r="AB52" i="7" s="1"/>
  <c r="AP52" i="7" s="1"/>
  <c r="AM52" i="7"/>
  <c r="AA40" i="7"/>
  <c r="AB40" i="7" s="1"/>
  <c r="AP40" i="7" s="1"/>
  <c r="AM40" i="7"/>
  <c r="AA46" i="7"/>
  <c r="AB46" i="7" s="1"/>
  <c r="AP46" i="7" s="1"/>
  <c r="AM46" i="7"/>
  <c r="AA28" i="7"/>
  <c r="AB28" i="7" s="1"/>
  <c r="AP28" i="7" s="1"/>
  <c r="AM28" i="7"/>
  <c r="AA67" i="7"/>
  <c r="AB67" i="7" s="1"/>
  <c r="AP67" i="7" s="1"/>
  <c r="AM67" i="7"/>
  <c r="AA27" i="7"/>
  <c r="AB27" i="7" s="1"/>
  <c r="AP27" i="7" s="1"/>
  <c r="AM27" i="7"/>
  <c r="AA26" i="7"/>
  <c r="AB26" i="7" s="1"/>
  <c r="AP26" i="7" s="1"/>
  <c r="AM26" i="7"/>
  <c r="AC128" i="9"/>
  <c r="AC128" i="8"/>
  <c r="AC128" i="7"/>
</calcChain>
</file>

<file path=xl/sharedStrings.xml><?xml version="1.0" encoding="utf-8"?>
<sst xmlns="http://schemas.openxmlformats.org/spreadsheetml/2006/main" count="155" uniqueCount="56">
  <si>
    <t>Beta</t>
  </si>
  <si>
    <t>air Temp</t>
  </si>
  <si>
    <t>air density</t>
  </si>
  <si>
    <t>sonic</t>
  </si>
  <si>
    <t>V</t>
  </si>
  <si>
    <t>q</t>
  </si>
  <si>
    <t>Dry</t>
  </si>
  <si>
    <t>AB</t>
  </si>
  <si>
    <t>W/Wto</t>
  </si>
  <si>
    <t>Altitude</t>
  </si>
  <si>
    <t>Mach</t>
  </si>
  <si>
    <t>n</t>
  </si>
  <si>
    <t>deg R</t>
  </si>
  <si>
    <t>slug/cu ft</t>
  </si>
  <si>
    <t>CDo</t>
  </si>
  <si>
    <t>k1</t>
  </si>
  <si>
    <t>k2</t>
  </si>
  <si>
    <t>a</t>
  </si>
  <si>
    <t>ft/s</t>
  </si>
  <si>
    <t>lb/sq ft</t>
  </si>
  <si>
    <t>Theta</t>
  </si>
  <si>
    <t>Theta0</t>
  </si>
  <si>
    <t>Delta</t>
  </si>
  <si>
    <t>Delta0</t>
  </si>
  <si>
    <t>alpha Dry</t>
  </si>
  <si>
    <t>alpha AB</t>
  </si>
  <si>
    <t>CL</t>
  </si>
  <si>
    <t>CD</t>
  </si>
  <si>
    <t>Drag, Klb</t>
  </si>
  <si>
    <t>Dry Thrust, Klb</t>
  </si>
  <si>
    <t>AB Thrust, Klb</t>
  </si>
  <si>
    <t>L/D</t>
  </si>
  <si>
    <t>Use eq 17.64, page 657</t>
  </si>
  <si>
    <t>Power Required</t>
  </si>
  <si>
    <t>Power Available (dry)</t>
  </si>
  <si>
    <t>Power Available (wet)</t>
  </si>
  <si>
    <t>Dry (ft/s)</t>
  </si>
  <si>
    <t>Wet (ft/s)</t>
  </si>
  <si>
    <t>Sink rate (ft/s)</t>
  </si>
  <si>
    <t>1/(L/D)</t>
  </si>
  <si>
    <t>using eq 17.68 from Raymer, 6th edition, page 657</t>
  </si>
  <si>
    <t>Vv</t>
  </si>
  <si>
    <t>rad</t>
  </si>
  <si>
    <t>Excess power/weight (climb rate)</t>
  </si>
  <si>
    <t>Glide Angle</t>
  </si>
  <si>
    <t>Method 1</t>
  </si>
  <si>
    <t>Method 2</t>
  </si>
  <si>
    <t>Required Thrust</t>
  </si>
  <si>
    <t>Available Dry Thrust, Klb</t>
  </si>
  <si>
    <t>Available AB Thrust, Klb</t>
  </si>
  <si>
    <t>Required Thrust, Klb</t>
  </si>
  <si>
    <t>Range</t>
  </si>
  <si>
    <t>mach</t>
  </si>
  <si>
    <t>SFC</t>
  </si>
  <si>
    <t>Range Req (4000 nm)</t>
  </si>
  <si>
    <t>Service Ceiling (57000 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</si>
</sst>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2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0" fillId="0" borderId="11" xfId="0" applyBorder="1"/>
    <xf numFmtId="0" fontId="1" fillId="0" borderId="10" xfId="0" applyFont="1" applyBorder="1"/>
    <xf numFmtId="0" fontId="0" fillId="0" borderId="6" xfId="0" applyBorder="1"/>
    <xf numFmtId="0" fontId="0" fillId="0" borderId="9" xfId="0" applyBorder="1"/>
    <xf numFmtId="11" fontId="0" fillId="0" borderId="1" xfId="0" applyNumberFormat="1" applyBorder="1"/>
    <xf numFmtId="11" fontId="0" fillId="0" borderId="0" xfId="0" applyNumberFormat="1"/>
    <xf numFmtId="0" fontId="0" fillId="2" borderId="11" xfId="0" applyFill="1" applyBorder="1"/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 vs Mach at 46000 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'50000'!$W$25</c:f>
              <c:strCache>
                <c:ptCount val="1"/>
                <c:pt idx="0">
                  <c:v>Required Thrust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'50000'!$V$36:$V$109</c:f>
              <c:numCache>
                <c:formatCode>General</c:formatCode>
                <c:ptCount val="74"/>
                <c:pt idx="0">
                  <c:v>0.39292929292929302</c:v>
                </c:pt>
                <c:pt idx="1">
                  <c:v>0.422222222222222</c:v>
                </c:pt>
                <c:pt idx="2">
                  <c:v>0.45151515151515198</c:v>
                </c:pt>
                <c:pt idx="3">
                  <c:v>0.48080808080808102</c:v>
                </c:pt>
                <c:pt idx="4">
                  <c:v>0.51010101010101006</c:v>
                </c:pt>
                <c:pt idx="5">
                  <c:v>0.53939393939393898</c:v>
                </c:pt>
                <c:pt idx="6">
                  <c:v>0.56868686868686902</c:v>
                </c:pt>
                <c:pt idx="7">
                  <c:v>0.59797979797979794</c:v>
                </c:pt>
                <c:pt idx="8">
                  <c:v>0.62727272727272698</c:v>
                </c:pt>
                <c:pt idx="9">
                  <c:v>0.65656565656565702</c:v>
                </c:pt>
                <c:pt idx="10">
                  <c:v>0.68585858585858595</c:v>
                </c:pt>
                <c:pt idx="11">
                  <c:v>0.71515151515151498</c:v>
                </c:pt>
                <c:pt idx="12">
                  <c:v>0.74444444444444402</c:v>
                </c:pt>
                <c:pt idx="13">
                  <c:v>0.77373737373737395</c:v>
                </c:pt>
                <c:pt idx="14">
                  <c:v>0.80303030303030298</c:v>
                </c:pt>
                <c:pt idx="15">
                  <c:v>0.83232323232323202</c:v>
                </c:pt>
                <c:pt idx="16">
                  <c:v>0.86161616161616195</c:v>
                </c:pt>
                <c:pt idx="17">
                  <c:v>0.89090909090909098</c:v>
                </c:pt>
                <c:pt idx="18">
                  <c:v>0.92020202020202002</c:v>
                </c:pt>
                <c:pt idx="19">
                  <c:v>0.94949494949494895</c:v>
                </c:pt>
                <c:pt idx="20">
                  <c:v>0.97878787878787898</c:v>
                </c:pt>
                <c:pt idx="21">
                  <c:v>1.0080808080807999</c:v>
                </c:pt>
                <c:pt idx="22">
                  <c:v>1.03737373737373</c:v>
                </c:pt>
                <c:pt idx="23">
                  <c:v>1.06666666666666</c:v>
                </c:pt>
                <c:pt idx="24">
                  <c:v>1.09595959595959</c:v>
                </c:pt>
                <c:pt idx="25">
                  <c:v>1.1252525252525201</c:v>
                </c:pt>
                <c:pt idx="26">
                  <c:v>1.1545454545454501</c:v>
                </c:pt>
                <c:pt idx="27">
                  <c:v>1.1838383838383799</c:v>
                </c:pt>
                <c:pt idx="28">
                  <c:v>1.21313131313131</c:v>
                </c:pt>
                <c:pt idx="29">
                  <c:v>1.24242424242424</c:v>
                </c:pt>
                <c:pt idx="30">
                  <c:v>1.27171717171717</c:v>
                </c:pt>
                <c:pt idx="31">
                  <c:v>1.3010101010101001</c:v>
                </c:pt>
                <c:pt idx="32">
                  <c:v>1.3303030303030301</c:v>
                </c:pt>
                <c:pt idx="33">
                  <c:v>1.3595959595959599</c:v>
                </c:pt>
                <c:pt idx="34">
                  <c:v>1.38888888888888</c:v>
                </c:pt>
                <c:pt idx="35">
                  <c:v>1.41818181818181</c:v>
                </c:pt>
                <c:pt idx="36">
                  <c:v>1.44747474747474</c:v>
                </c:pt>
                <c:pt idx="37">
                  <c:v>1.4767676767676701</c:v>
                </c:pt>
                <c:pt idx="38">
                  <c:v>1.5060606060606001</c:v>
                </c:pt>
                <c:pt idx="39">
                  <c:v>1.5353535353535299</c:v>
                </c:pt>
                <c:pt idx="40">
                  <c:v>1.56464646464646</c:v>
                </c:pt>
                <c:pt idx="41">
                  <c:v>1.59393939393939</c:v>
                </c:pt>
                <c:pt idx="42">
                  <c:v>1.62323232323232</c:v>
                </c:pt>
                <c:pt idx="43">
                  <c:v>1.6525252525252501</c:v>
                </c:pt>
                <c:pt idx="44">
                  <c:v>1.6818181818181801</c:v>
                </c:pt>
                <c:pt idx="45">
                  <c:v>1.7111111111111099</c:v>
                </c:pt>
                <c:pt idx="46">
                  <c:v>1.74040404040404</c:v>
                </c:pt>
                <c:pt idx="47">
                  <c:v>1.76969696969697</c:v>
                </c:pt>
                <c:pt idx="48">
                  <c:v>1.79898989898989</c:v>
                </c:pt>
                <c:pt idx="49">
                  <c:v>1.8282828282828201</c:v>
                </c:pt>
                <c:pt idx="50">
                  <c:v>1.8575757575757501</c:v>
                </c:pt>
                <c:pt idx="51">
                  <c:v>1.8868686868686799</c:v>
                </c:pt>
                <c:pt idx="52">
                  <c:v>1.91616161616161</c:v>
                </c:pt>
                <c:pt idx="53">
                  <c:v>1.94545454545454</c:v>
                </c:pt>
                <c:pt idx="54">
                  <c:v>1.97474747474747</c:v>
                </c:pt>
                <c:pt idx="55">
                  <c:v>2.0040404040404001</c:v>
                </c:pt>
                <c:pt idx="56">
                  <c:v>2.0333333333333301</c:v>
                </c:pt>
                <c:pt idx="57">
                  <c:v>2.0626262626262601</c:v>
                </c:pt>
                <c:pt idx="58">
                  <c:v>2.0919191919191902</c:v>
                </c:pt>
                <c:pt idx="59">
                  <c:v>2.1212121212121202</c:v>
                </c:pt>
                <c:pt idx="60">
                  <c:v>2.1505050505050498</c:v>
                </c:pt>
                <c:pt idx="61">
                  <c:v>2.1797979797979798</c:v>
                </c:pt>
                <c:pt idx="62">
                  <c:v>2.2090909090909001</c:v>
                </c:pt>
                <c:pt idx="63">
                  <c:v>2.2383838383838301</c:v>
                </c:pt>
                <c:pt idx="64">
                  <c:v>2.2676767676767602</c:v>
                </c:pt>
                <c:pt idx="65">
                  <c:v>2.2969696969696898</c:v>
                </c:pt>
                <c:pt idx="66">
                  <c:v>2.3262626262626198</c:v>
                </c:pt>
                <c:pt idx="67">
                  <c:v>2.3555555555555499</c:v>
                </c:pt>
                <c:pt idx="68">
                  <c:v>2.3848484848484799</c:v>
                </c:pt>
                <c:pt idx="69">
                  <c:v>2.4141414141414099</c:v>
                </c:pt>
                <c:pt idx="70">
                  <c:v>2.44343434343434</c:v>
                </c:pt>
                <c:pt idx="71">
                  <c:v>2.47272727272727</c:v>
                </c:pt>
                <c:pt idx="72">
                  <c:v>2.5020202020202</c:v>
                </c:pt>
                <c:pt idx="73">
                  <c:v>2.5313131313131301</c:v>
                </c:pt>
              </c:numCache>
            </c:numRef>
          </c:xVal>
          <c:yVal>
            <c:numRef>
              <c:f>'50000'!$W$36:$W$109</c:f>
              <c:numCache>
                <c:formatCode>General</c:formatCode>
                <c:ptCount val="74"/>
                <c:pt idx="0">
                  <c:v>121.71094175096151</c:v>
                </c:pt>
                <c:pt idx="1">
                  <c:v>105.49103100148801</c:v>
                </c:pt>
                <c:pt idx="2">
                  <c:v>92.366168152613</c:v>
                </c:pt>
                <c:pt idx="3">
                  <c:v>81.608332159246501</c:v>
                </c:pt>
                <c:pt idx="4">
                  <c:v>72.692333753938271</c:v>
                </c:pt>
                <c:pt idx="5">
                  <c:v>65.231596887627475</c:v>
                </c:pt>
                <c:pt idx="6">
                  <c:v>58.936467497677576</c:v>
                </c:pt>
                <c:pt idx="7">
                  <c:v>53.586450883096198</c:v>
                </c:pt>
                <c:pt idx="8">
                  <c:v>49.011302633690427</c:v>
                </c:pt>
                <c:pt idx="9">
                  <c:v>45.077887431316505</c:v>
                </c:pt>
                <c:pt idx="10">
                  <c:v>41.680879233586445</c:v>
                </c:pt>
                <c:pt idx="11">
                  <c:v>38.736071133656921</c:v>
                </c:pt>
                <c:pt idx="12">
                  <c:v>36.175490319216671</c:v>
                </c:pt>
                <c:pt idx="13">
                  <c:v>33.943782230093866</c:v>
                </c:pt>
                <c:pt idx="14">
                  <c:v>31.9955005775162</c:v>
                </c:pt>
                <c:pt idx="15">
                  <c:v>30.293052849473892</c:v>
                </c:pt>
                <c:pt idx="16">
                  <c:v>28.80512617261925</c:v>
                </c:pt>
                <c:pt idx="17">
                  <c:v>27.505469334618027</c:v>
                </c:pt>
                <c:pt idx="18">
                  <c:v>25</c:v>
                </c:pt>
                <c:pt idx="19">
                  <c:v>20</c:v>
                </c:pt>
                <c:pt idx="20">
                  <c:v>16</c:v>
                </c:pt>
                <c:pt idx="21">
                  <c:v>13</c:v>
                </c:pt>
                <c:pt idx="22">
                  <c:v>12</c:v>
                </c:pt>
                <c:pt idx="23">
                  <c:v>11.967627491637737</c:v>
                </c:pt>
                <c:pt idx="24">
                  <c:v>11.575747108453774</c:v>
                </c:pt>
                <c:pt idx="25">
                  <c:v>11.741615485184798</c:v>
                </c:pt>
                <c:pt idx="26">
                  <c:v>12.055246362732321</c:v>
                </c:pt>
                <c:pt idx="27">
                  <c:v>12.430498111961249</c:v>
                </c:pt>
                <c:pt idx="28">
                  <c:v>12.83937192785398</c:v>
                </c:pt>
                <c:pt idx="29">
                  <c:v>13.270613552726944</c:v>
                </c:pt>
                <c:pt idx="30">
                  <c:v>13.719107278868449</c:v>
                </c:pt>
                <c:pt idx="31">
                  <c:v>14.18234556218005</c:v>
                </c:pt>
                <c:pt idx="32">
                  <c:v>15.402960138481879</c:v>
                </c:pt>
                <c:pt idx="33">
                  <c:v>15.905918552021621</c:v>
                </c:pt>
                <c:pt idx="34">
                  <c:v>16.425998881233628</c:v>
                </c:pt>
                <c:pt idx="35">
                  <c:v>16.960475863310375</c:v>
                </c:pt>
                <c:pt idx="36">
                  <c:v>17.508458156307658</c:v>
                </c:pt>
                <c:pt idx="37">
                  <c:v>18.069538144451364</c:v>
                </c:pt>
                <c:pt idx="38">
                  <c:v>18.643501352264224</c:v>
                </c:pt>
                <c:pt idx="39">
                  <c:v>19.230225456954372</c:v>
                </c:pt>
                <c:pt idx="40">
                  <c:v>19.829636300262209</c:v>
                </c:pt>
                <c:pt idx="41">
                  <c:v>20.441686112385501</c:v>
                </c:pt>
                <c:pt idx="42">
                  <c:v>21.06634186309272</c:v>
                </c:pt>
                <c:pt idx="43">
                  <c:v>21.703578727081123</c:v>
                </c:pt>
                <c:pt idx="44">
                  <c:v>22.3533763168662</c:v>
                </c:pt>
                <c:pt idx="45">
                  <c:v>23.015716486176757</c:v>
                </c:pt>
                <c:pt idx="46">
                  <c:v>23.69058205397986</c:v>
                </c:pt>
                <c:pt idx="47">
                  <c:v>24.377956079642196</c:v>
                </c:pt>
                <c:pt idx="48">
                  <c:v>25.077821471834898</c:v>
                </c:pt>
                <c:pt idx="49">
                  <c:v>25.790160799998436</c:v>
                </c:pt>
                <c:pt idx="50">
                  <c:v>26.514956227749298</c:v>
                </c:pt>
                <c:pt idx="51">
                  <c:v>27.252189518103375</c:v>
                </c:pt>
                <c:pt idx="52">
                  <c:v>28.001842079155679</c:v>
                </c:pt>
                <c:pt idx="53">
                  <c:v>28.763895030598025</c:v>
                </c:pt>
                <c:pt idx="54">
                  <c:v>29.538329278899567</c:v>
                </c:pt>
                <c:pt idx="55">
                  <c:v>30.325125593712052</c:v>
                </c:pt>
                <c:pt idx="56">
                  <c:v>31.124264681116117</c:v>
                </c:pt>
                <c:pt idx="57">
                  <c:v>31.935727251251684</c:v>
                </c:pt>
                <c:pt idx="58">
                  <c:v>32.759494079147558</c:v>
                </c:pt>
                <c:pt idx="59">
                  <c:v>33.595546058319307</c:v>
                </c:pt>
                <c:pt idx="60">
                  <c:v>34.443864247191776</c:v>
                </c:pt>
                <c:pt idx="61">
                  <c:v>35.304429908697351</c:v>
                </c:pt>
                <c:pt idx="62">
                  <c:v>36.177224543539126</c:v>
                </c:pt>
                <c:pt idx="63">
                  <c:v>37.062229917694197</c:v>
                </c:pt>
                <c:pt idx="64">
                  <c:v>37.959428084758819</c:v>
                </c:pt>
                <c:pt idx="65">
                  <c:v>38.868801403700367</c:v>
                </c:pt>
                <c:pt idx="66">
                  <c:v>39.790332552586996</c:v>
                </c:pt>
                <c:pt idx="67">
                  <c:v>40.724004538800877</c:v>
                </c:pt>
                <c:pt idx="68">
                  <c:v>41.669800706205919</c:v>
                </c:pt>
                <c:pt idx="69">
                  <c:v>42.627704739679842</c:v>
                </c:pt>
                <c:pt idx="70">
                  <c:v>43.597700667413491</c:v>
                </c:pt>
                <c:pt idx="71">
                  <c:v>44.579772861290103</c:v>
                </c:pt>
                <c:pt idx="72">
                  <c:v>45.573906035644228</c:v>
                </c:pt>
                <c:pt idx="73">
                  <c:v>46.580085244672084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2A-4D0B-81F9-C5E0181A303F}"/>
            </c:ext>
          </c:extLst>
        </c:ser>
        <c:ser>
          <c:idx val="1"/>
          <c:order val="1"/>
          <c:tx>
            <c:strRef>
              <c:f>'50000'!$X$25</c:f>
              <c:strCache>
                <c:ptCount val="1"/>
                <c:pt idx="0">
                  <c:v>Available Dry Thrust, Klb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'50000'!$V$36:$V$109</c:f>
              <c:numCache>
                <c:formatCode>General</c:formatCode>
                <c:ptCount val="74"/>
                <c:pt idx="0">
                  <c:v>0.39292929292929302</c:v>
                </c:pt>
                <c:pt idx="1">
                  <c:v>0.422222222222222</c:v>
                </c:pt>
                <c:pt idx="2">
                  <c:v>0.45151515151515198</c:v>
                </c:pt>
                <c:pt idx="3">
                  <c:v>0.48080808080808102</c:v>
                </c:pt>
                <c:pt idx="4">
                  <c:v>0.51010101010101006</c:v>
                </c:pt>
                <c:pt idx="5">
                  <c:v>0.53939393939393898</c:v>
                </c:pt>
                <c:pt idx="6">
                  <c:v>0.56868686868686902</c:v>
                </c:pt>
                <c:pt idx="7">
                  <c:v>0.59797979797979794</c:v>
                </c:pt>
                <c:pt idx="8">
                  <c:v>0.62727272727272698</c:v>
                </c:pt>
                <c:pt idx="9">
                  <c:v>0.65656565656565702</c:v>
                </c:pt>
                <c:pt idx="10">
                  <c:v>0.68585858585858595</c:v>
                </c:pt>
                <c:pt idx="11">
                  <c:v>0.71515151515151498</c:v>
                </c:pt>
                <c:pt idx="12">
                  <c:v>0.74444444444444402</c:v>
                </c:pt>
                <c:pt idx="13">
                  <c:v>0.77373737373737395</c:v>
                </c:pt>
                <c:pt idx="14">
                  <c:v>0.80303030303030298</c:v>
                </c:pt>
                <c:pt idx="15">
                  <c:v>0.83232323232323202</c:v>
                </c:pt>
                <c:pt idx="16">
                  <c:v>0.86161616161616195</c:v>
                </c:pt>
                <c:pt idx="17">
                  <c:v>0.89090909090909098</c:v>
                </c:pt>
                <c:pt idx="18">
                  <c:v>0.92020202020202002</c:v>
                </c:pt>
                <c:pt idx="19">
                  <c:v>0.94949494949494895</c:v>
                </c:pt>
                <c:pt idx="20">
                  <c:v>0.97878787878787898</c:v>
                </c:pt>
                <c:pt idx="21">
                  <c:v>1.0080808080807999</c:v>
                </c:pt>
                <c:pt idx="22">
                  <c:v>1.03737373737373</c:v>
                </c:pt>
                <c:pt idx="23">
                  <c:v>1.06666666666666</c:v>
                </c:pt>
                <c:pt idx="24">
                  <c:v>1.09595959595959</c:v>
                </c:pt>
                <c:pt idx="25">
                  <c:v>1.1252525252525201</c:v>
                </c:pt>
                <c:pt idx="26">
                  <c:v>1.1545454545454501</c:v>
                </c:pt>
                <c:pt idx="27">
                  <c:v>1.1838383838383799</c:v>
                </c:pt>
                <c:pt idx="28">
                  <c:v>1.21313131313131</c:v>
                </c:pt>
                <c:pt idx="29">
                  <c:v>1.24242424242424</c:v>
                </c:pt>
                <c:pt idx="30">
                  <c:v>1.27171717171717</c:v>
                </c:pt>
                <c:pt idx="31">
                  <c:v>1.3010101010101001</c:v>
                </c:pt>
                <c:pt idx="32">
                  <c:v>1.3303030303030301</c:v>
                </c:pt>
                <c:pt idx="33">
                  <c:v>1.3595959595959599</c:v>
                </c:pt>
                <c:pt idx="34">
                  <c:v>1.38888888888888</c:v>
                </c:pt>
                <c:pt idx="35">
                  <c:v>1.41818181818181</c:v>
                </c:pt>
                <c:pt idx="36">
                  <c:v>1.44747474747474</c:v>
                </c:pt>
                <c:pt idx="37">
                  <c:v>1.4767676767676701</c:v>
                </c:pt>
                <c:pt idx="38">
                  <c:v>1.5060606060606001</c:v>
                </c:pt>
                <c:pt idx="39">
                  <c:v>1.5353535353535299</c:v>
                </c:pt>
                <c:pt idx="40">
                  <c:v>1.56464646464646</c:v>
                </c:pt>
                <c:pt idx="41">
                  <c:v>1.59393939393939</c:v>
                </c:pt>
                <c:pt idx="42">
                  <c:v>1.62323232323232</c:v>
                </c:pt>
                <c:pt idx="43">
                  <c:v>1.6525252525252501</c:v>
                </c:pt>
                <c:pt idx="44">
                  <c:v>1.6818181818181801</c:v>
                </c:pt>
                <c:pt idx="45">
                  <c:v>1.7111111111111099</c:v>
                </c:pt>
                <c:pt idx="46">
                  <c:v>1.74040404040404</c:v>
                </c:pt>
                <c:pt idx="47">
                  <c:v>1.76969696969697</c:v>
                </c:pt>
                <c:pt idx="48">
                  <c:v>1.79898989898989</c:v>
                </c:pt>
                <c:pt idx="49">
                  <c:v>1.8282828282828201</c:v>
                </c:pt>
                <c:pt idx="50">
                  <c:v>1.8575757575757501</c:v>
                </c:pt>
                <c:pt idx="51">
                  <c:v>1.8868686868686799</c:v>
                </c:pt>
                <c:pt idx="52">
                  <c:v>1.91616161616161</c:v>
                </c:pt>
                <c:pt idx="53">
                  <c:v>1.94545454545454</c:v>
                </c:pt>
                <c:pt idx="54">
                  <c:v>1.97474747474747</c:v>
                </c:pt>
                <c:pt idx="55">
                  <c:v>2.0040404040404001</c:v>
                </c:pt>
                <c:pt idx="56">
                  <c:v>2.0333333333333301</c:v>
                </c:pt>
                <c:pt idx="57">
                  <c:v>2.0626262626262601</c:v>
                </c:pt>
                <c:pt idx="58">
                  <c:v>2.0919191919191902</c:v>
                </c:pt>
                <c:pt idx="59">
                  <c:v>2.1212121212121202</c:v>
                </c:pt>
                <c:pt idx="60">
                  <c:v>2.1505050505050498</c:v>
                </c:pt>
                <c:pt idx="61">
                  <c:v>2.1797979797979798</c:v>
                </c:pt>
                <c:pt idx="62">
                  <c:v>2.2090909090909001</c:v>
                </c:pt>
                <c:pt idx="63">
                  <c:v>2.2383838383838301</c:v>
                </c:pt>
                <c:pt idx="64">
                  <c:v>2.2676767676767602</c:v>
                </c:pt>
                <c:pt idx="65">
                  <c:v>2.2969696969696898</c:v>
                </c:pt>
                <c:pt idx="66">
                  <c:v>2.3262626262626198</c:v>
                </c:pt>
                <c:pt idx="67">
                  <c:v>2.3555555555555499</c:v>
                </c:pt>
                <c:pt idx="68">
                  <c:v>2.3848484848484799</c:v>
                </c:pt>
                <c:pt idx="69">
                  <c:v>2.4141414141414099</c:v>
                </c:pt>
                <c:pt idx="70">
                  <c:v>2.44343434343434</c:v>
                </c:pt>
                <c:pt idx="71">
                  <c:v>2.47272727272727</c:v>
                </c:pt>
                <c:pt idx="72">
                  <c:v>2.5020202020202</c:v>
                </c:pt>
                <c:pt idx="73">
                  <c:v>2.5313131313131301</c:v>
                </c:pt>
              </c:numCache>
            </c:numRef>
          </c:xVal>
          <c:yVal>
            <c:numRef>
              <c:f>'50000'!$X$36:$X$109</c:f>
              <c:numCache>
                <c:formatCode>General</c:formatCode>
                <c:ptCount val="74"/>
                <c:pt idx="0">
                  <c:v>11.378397320014651</c:v>
                </c:pt>
                <c:pt idx="1">
                  <c:v>11.44875547476998</c:v>
                </c:pt>
                <c:pt idx="2">
                  <c:v>11.530829004111023</c:v>
                </c:pt>
                <c:pt idx="3">
                  <c:v>11.624650005925057</c:v>
                </c:pt>
                <c:pt idx="4">
                  <c:v>11.730269848709199</c:v>
                </c:pt>
                <c:pt idx="5">
                  <c:v>11.847758394800865</c:v>
                </c:pt>
                <c:pt idx="6">
                  <c:v>11.977203230841448</c:v>
                </c:pt>
                <c:pt idx="7">
                  <c:v>12.11870890033831</c:v>
                </c:pt>
                <c:pt idx="8">
                  <c:v>12.272396133139026</c:v>
                </c:pt>
                <c:pt idx="9">
                  <c:v>12.438401066571458</c:v>
                </c:pt>
                <c:pt idx="10">
                  <c:v>12.616874452935186</c:v>
                </c:pt>
                <c:pt idx="11">
                  <c:v>12.807980847952019</c:v>
                </c:pt>
                <c:pt idx="12">
                  <c:v>13.011897774698376</c:v>
                </c:pt>
                <c:pt idx="13">
                  <c:v>13.228814857448455</c:v>
                </c:pt>
                <c:pt idx="14">
                  <c:v>13.458932919755892</c:v>
                </c:pt>
                <c:pt idx="15">
                  <c:v>13.702463040992429</c:v>
                </c:pt>
                <c:pt idx="16">
                  <c:v>13.959625565445471</c:v>
                </c:pt>
                <c:pt idx="17">
                  <c:v>14.230649057952554</c:v>
                </c:pt>
                <c:pt idx="18">
                  <c:v>14.515769199920086</c:v>
                </c:pt>
                <c:pt idx="19">
                  <c:v>14.815227619435786</c:v>
                </c:pt>
                <c:pt idx="20">
                  <c:v>15.129270649040231</c:v>
                </c:pt>
                <c:pt idx="21">
                  <c:v>15.458148004572131</c:v>
                </c:pt>
                <c:pt idx="22">
                  <c:v>15.802111378346234</c:v>
                </c:pt>
                <c:pt idx="23">
                  <c:v>16.161412939757682</c:v>
                </c:pt>
                <c:pt idx="24">
                  <c:v>16.53630373624253</c:v>
                </c:pt>
                <c:pt idx="25">
                  <c:v>16.927031987346613</c:v>
                </c:pt>
                <c:pt idx="26">
                  <c:v>17.333841264478476</c:v>
                </c:pt>
                <c:pt idx="27">
                  <c:v>17.756968548737685</c:v>
                </c:pt>
                <c:pt idx="28">
                  <c:v>18.43362165051056</c:v>
                </c:pt>
                <c:pt idx="29">
                  <c:v>18.774375574669445</c:v>
                </c:pt>
                <c:pt idx="30">
                  <c:v>19.165178789194606</c:v>
                </c:pt>
                <c:pt idx="31">
                  <c:v>19.566274431350251</c:v>
                </c:pt>
                <c:pt idx="32">
                  <c:v>19.977357957825131</c:v>
                </c:pt>
                <c:pt idx="33">
                  <c:v>20.398076501364752</c:v>
                </c:pt>
                <c:pt idx="34">
                  <c:v>20.828024584855754</c:v>
                </c:pt>
                <c:pt idx="35">
                  <c:v>21.266739600816674</c:v>
                </c:pt>
                <c:pt idx="36">
                  <c:v>21.71369704593651</c:v>
                </c:pt>
                <c:pt idx="37">
                  <c:v>22.168305500080347</c:v>
                </c:pt>
                <c:pt idx="38">
                  <c:v>22.629901338946194</c:v>
                </c:pt>
                <c:pt idx="39">
                  <c:v>23.097743169328119</c:v>
                </c:pt>
                <c:pt idx="40">
                  <c:v>23.571005975705262</c:v>
                </c:pt>
                <c:pt idx="41">
                  <c:v>24.048774966639467</c:v>
                </c:pt>
                <c:pt idx="42">
                  <c:v>24.530039109225939</c:v>
                </c:pt>
                <c:pt idx="43">
                  <c:v>25.013684339600267</c:v>
                </c:pt>
                <c:pt idx="44">
                  <c:v>25.498486437262866</c:v>
                </c:pt>
                <c:pt idx="45">
                  <c:v>25.983103550737631</c:v>
                </c:pt>
                <c:pt idx="46">
                  <c:v>26.466068361835589</c:v>
                </c:pt>
                <c:pt idx="47">
                  <c:v>26.945779875546904</c:v>
                </c:pt>
                <c:pt idx="48">
                  <c:v>27.420494822336085</c:v>
                </c:pt>
                <c:pt idx="49">
                  <c:v>27.888318659365222</c:v>
                </c:pt>
                <c:pt idx="50">
                  <c:v>28.347196156915857</c:v>
                </c:pt>
                <c:pt idx="51">
                  <c:v>28.794901556032954</c:v>
                </c:pt>
                <c:pt idx="52">
                  <c:v>29.229028283154413</c:v>
                </c:pt>
                <c:pt idx="53">
                  <c:v>29.646978207238462</c:v>
                </c:pt>
                <c:pt idx="54">
                  <c:v>30.045950424644005</c:v>
                </c:pt>
                <c:pt idx="55">
                  <c:v>30.422929556762078</c:v>
                </c:pt>
                <c:pt idx="56">
                  <c:v>30.774673545138828</c:v>
                </c:pt>
                <c:pt idx="57">
                  <c:v>31.097700928571602</c:v>
                </c:pt>
                <c:pt idx="58">
                  <c:v>31.388277586400708</c:v>
                </c:pt>
                <c:pt idx="59">
                  <c:v>31.642402931958028</c:v>
                </c:pt>
                <c:pt idx="60">
                  <c:v>31.855795539874322</c:v>
                </c:pt>
                <c:pt idx="61">
                  <c:v>32.02387819068398</c:v>
                </c:pt>
                <c:pt idx="62">
                  <c:v>32.141762315904231</c:v>
                </c:pt>
                <c:pt idx="63">
                  <c:v>32.204231826503843</c:v>
                </c:pt>
                <c:pt idx="64">
                  <c:v>32.205726307410998</c:v>
                </c:pt>
                <c:pt idx="65">
                  <c:v>32.140323560448387</c:v>
                </c:pt>
                <c:pt idx="66">
                  <c:v>32.001721477817391</c:v>
                </c:pt>
                <c:pt idx="67">
                  <c:v>31.783219227989441</c:v>
                </c:pt>
                <c:pt idx="68">
                  <c:v>31.477697735597008</c:v>
                </c:pt>
                <c:pt idx="69">
                  <c:v>31.077599436650438</c:v>
                </c:pt>
                <c:pt idx="70">
                  <c:v>30.574907290142207</c:v>
                </c:pt>
                <c:pt idx="71">
                  <c:v>29.96112302683207</c:v>
                </c:pt>
                <c:pt idx="72">
                  <c:v>29.227244615741188</c:v>
                </c:pt>
                <c:pt idx="73">
                  <c:v>28.363742928615412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2A-4D0B-81F9-C5E0181A303F}"/>
            </c:ext>
          </c:extLst>
        </c:ser>
        <c:ser>
          <c:idx val="2"/>
          <c:order val="2"/>
          <c:tx>
            <c:strRef>
              <c:f>'50000'!$Y$25</c:f>
              <c:strCache>
                <c:ptCount val="1"/>
                <c:pt idx="0">
                  <c:v>Available AB Thrust, Klb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'50000'!$V$36:$V$109</c:f>
              <c:numCache>
                <c:formatCode>General</c:formatCode>
                <c:ptCount val="74"/>
                <c:pt idx="0">
                  <c:v>0.39292929292929302</c:v>
                </c:pt>
                <c:pt idx="1">
                  <c:v>0.422222222222222</c:v>
                </c:pt>
                <c:pt idx="2">
                  <c:v>0.45151515151515198</c:v>
                </c:pt>
                <c:pt idx="3">
                  <c:v>0.48080808080808102</c:v>
                </c:pt>
                <c:pt idx="4">
                  <c:v>0.51010101010101006</c:v>
                </c:pt>
                <c:pt idx="5">
                  <c:v>0.53939393939393898</c:v>
                </c:pt>
                <c:pt idx="6">
                  <c:v>0.56868686868686902</c:v>
                </c:pt>
                <c:pt idx="7">
                  <c:v>0.59797979797979794</c:v>
                </c:pt>
                <c:pt idx="8">
                  <c:v>0.62727272727272698</c:v>
                </c:pt>
                <c:pt idx="9">
                  <c:v>0.65656565656565702</c:v>
                </c:pt>
                <c:pt idx="10">
                  <c:v>0.68585858585858595</c:v>
                </c:pt>
                <c:pt idx="11">
                  <c:v>0.71515151515151498</c:v>
                </c:pt>
                <c:pt idx="12">
                  <c:v>0.74444444444444402</c:v>
                </c:pt>
                <c:pt idx="13">
                  <c:v>0.77373737373737395</c:v>
                </c:pt>
                <c:pt idx="14">
                  <c:v>0.80303030303030298</c:v>
                </c:pt>
                <c:pt idx="15">
                  <c:v>0.83232323232323202</c:v>
                </c:pt>
                <c:pt idx="16">
                  <c:v>0.86161616161616195</c:v>
                </c:pt>
                <c:pt idx="17">
                  <c:v>0.89090909090909098</c:v>
                </c:pt>
                <c:pt idx="18">
                  <c:v>0.92020202020202002</c:v>
                </c:pt>
                <c:pt idx="19">
                  <c:v>0.94949494949494895</c:v>
                </c:pt>
                <c:pt idx="20">
                  <c:v>0.97878787878787898</c:v>
                </c:pt>
                <c:pt idx="21">
                  <c:v>1.0080808080807999</c:v>
                </c:pt>
                <c:pt idx="22">
                  <c:v>1.03737373737373</c:v>
                </c:pt>
                <c:pt idx="23">
                  <c:v>1.06666666666666</c:v>
                </c:pt>
                <c:pt idx="24">
                  <c:v>1.09595959595959</c:v>
                </c:pt>
                <c:pt idx="25">
                  <c:v>1.1252525252525201</c:v>
                </c:pt>
                <c:pt idx="26">
                  <c:v>1.1545454545454501</c:v>
                </c:pt>
                <c:pt idx="27">
                  <c:v>1.1838383838383799</c:v>
                </c:pt>
                <c:pt idx="28">
                  <c:v>1.21313131313131</c:v>
                </c:pt>
                <c:pt idx="29">
                  <c:v>1.24242424242424</c:v>
                </c:pt>
                <c:pt idx="30">
                  <c:v>1.27171717171717</c:v>
                </c:pt>
                <c:pt idx="31">
                  <c:v>1.3010101010101001</c:v>
                </c:pt>
                <c:pt idx="32">
                  <c:v>1.3303030303030301</c:v>
                </c:pt>
                <c:pt idx="33">
                  <c:v>1.3595959595959599</c:v>
                </c:pt>
                <c:pt idx="34">
                  <c:v>1.38888888888888</c:v>
                </c:pt>
                <c:pt idx="35">
                  <c:v>1.41818181818181</c:v>
                </c:pt>
                <c:pt idx="36">
                  <c:v>1.44747474747474</c:v>
                </c:pt>
                <c:pt idx="37">
                  <c:v>1.4767676767676701</c:v>
                </c:pt>
                <c:pt idx="38">
                  <c:v>1.5060606060606001</c:v>
                </c:pt>
                <c:pt idx="39">
                  <c:v>1.5353535353535299</c:v>
                </c:pt>
                <c:pt idx="40">
                  <c:v>1.56464646464646</c:v>
                </c:pt>
                <c:pt idx="41">
                  <c:v>1.59393939393939</c:v>
                </c:pt>
                <c:pt idx="42">
                  <c:v>1.62323232323232</c:v>
                </c:pt>
                <c:pt idx="43">
                  <c:v>1.6525252525252501</c:v>
                </c:pt>
                <c:pt idx="44">
                  <c:v>1.6818181818181801</c:v>
                </c:pt>
                <c:pt idx="45">
                  <c:v>1.7111111111111099</c:v>
                </c:pt>
                <c:pt idx="46">
                  <c:v>1.74040404040404</c:v>
                </c:pt>
                <c:pt idx="47">
                  <c:v>1.76969696969697</c:v>
                </c:pt>
                <c:pt idx="48">
                  <c:v>1.79898989898989</c:v>
                </c:pt>
                <c:pt idx="49">
                  <c:v>1.8282828282828201</c:v>
                </c:pt>
                <c:pt idx="50">
                  <c:v>1.8575757575757501</c:v>
                </c:pt>
                <c:pt idx="51">
                  <c:v>1.8868686868686799</c:v>
                </c:pt>
                <c:pt idx="52">
                  <c:v>1.91616161616161</c:v>
                </c:pt>
                <c:pt idx="53">
                  <c:v>1.94545454545454</c:v>
                </c:pt>
                <c:pt idx="54">
                  <c:v>1.97474747474747</c:v>
                </c:pt>
                <c:pt idx="55">
                  <c:v>2.0040404040404001</c:v>
                </c:pt>
                <c:pt idx="56">
                  <c:v>2.0333333333333301</c:v>
                </c:pt>
                <c:pt idx="57">
                  <c:v>2.0626262626262601</c:v>
                </c:pt>
                <c:pt idx="58">
                  <c:v>2.0919191919191902</c:v>
                </c:pt>
                <c:pt idx="59">
                  <c:v>2.1212121212121202</c:v>
                </c:pt>
                <c:pt idx="60">
                  <c:v>2.1505050505050498</c:v>
                </c:pt>
                <c:pt idx="61">
                  <c:v>2.1797979797979798</c:v>
                </c:pt>
                <c:pt idx="62">
                  <c:v>2.2090909090909001</c:v>
                </c:pt>
                <c:pt idx="63">
                  <c:v>2.2383838383838301</c:v>
                </c:pt>
                <c:pt idx="64">
                  <c:v>2.2676767676767602</c:v>
                </c:pt>
                <c:pt idx="65">
                  <c:v>2.2969696969696898</c:v>
                </c:pt>
                <c:pt idx="66">
                  <c:v>2.3262626262626198</c:v>
                </c:pt>
                <c:pt idx="67">
                  <c:v>2.3555555555555499</c:v>
                </c:pt>
                <c:pt idx="68">
                  <c:v>2.3848484848484799</c:v>
                </c:pt>
                <c:pt idx="69">
                  <c:v>2.4141414141414099</c:v>
                </c:pt>
                <c:pt idx="70">
                  <c:v>2.44343434343434</c:v>
                </c:pt>
                <c:pt idx="71">
                  <c:v>2.47272727272727</c:v>
                </c:pt>
                <c:pt idx="72">
                  <c:v>2.5020202020202</c:v>
                </c:pt>
                <c:pt idx="73">
                  <c:v>2.5313131313131301</c:v>
                </c:pt>
              </c:numCache>
            </c:numRef>
          </c:xVal>
          <c:yVal>
            <c:numRef>
              <c:f>'50000'!$Y$36:$Y$109</c:f>
              <c:numCache>
                <c:formatCode>General</c:formatCode>
                <c:ptCount val="74"/>
                <c:pt idx="0">
                  <c:v>14.357289066042547</c:v>
                </c:pt>
                <c:pt idx="1">
                  <c:v>14.555710145934759</c:v>
                </c:pt>
                <c:pt idx="2">
                  <c:v>14.773970954528382</c:v>
                </c:pt>
                <c:pt idx="3">
                  <c:v>15.01252169265301</c:v>
                </c:pt>
                <c:pt idx="4">
                  <c:v>15.271877793803339</c:v>
                </c:pt>
                <c:pt idx="5">
                  <c:v>15.552618004863016</c:v>
                </c:pt>
                <c:pt idx="6">
                  <c:v>15.855383349783146</c:v>
                </c:pt>
                <c:pt idx="7">
                  <c:v>16.180876762338166</c:v>
                </c:pt>
                <c:pt idx="8">
                  <c:v>16.529863241414745</c:v>
                </c:pt>
                <c:pt idx="9">
                  <c:v>16.903170426384907</c:v>
                </c:pt>
                <c:pt idx="10">
                  <c:v>17.301689519687166</c:v>
                </c:pt>
                <c:pt idx="11">
                  <c:v>17.726376503997344</c:v>
                </c:pt>
                <c:pt idx="12">
                  <c:v>18.178253615520294</c:v>
                </c:pt>
                <c:pt idx="13">
                  <c:v>18.658411044991144</c:v>
                </c:pt>
                <c:pt idx="14">
                  <c:v>19.168008845239882</c:v>
                </c:pt>
                <c:pt idx="15">
                  <c:v>19.708279029500122</c:v>
                </c:pt>
                <c:pt idx="16">
                  <c:v>20.280527848602397</c:v>
                </c:pt>
                <c:pt idx="17">
                  <c:v>20.886138238173892</c:v>
                </c:pt>
                <c:pt idx="18">
                  <c:v>21.526572429238943</c:v>
                </c:pt>
                <c:pt idx="19">
                  <c:v>22.203374717364852</c:v>
                </c:pt>
                <c:pt idx="20">
                  <c:v>22.918174386861885</c:v>
                </c:pt>
                <c:pt idx="21">
                  <c:v>23.672688787618156</c:v>
                </c:pt>
                <c:pt idx="22">
                  <c:v>24.46872656300414</c:v>
                </c:pt>
                <c:pt idx="23">
                  <c:v>25.30819102795817</c:v>
                </c:pt>
                <c:pt idx="24">
                  <c:v>26.193083696924365</c:v>
                </c:pt>
                <c:pt idx="25">
                  <c:v>27.125507961754511</c:v>
                </c:pt>
                <c:pt idx="26">
                  <c:v>28.107672920058832</c:v>
                </c:pt>
                <c:pt idx="27">
                  <c:v>29.141897354792615</c:v>
                </c:pt>
                <c:pt idx="28">
                  <c:v>32.012897125028367</c:v>
                </c:pt>
                <c:pt idx="29">
                  <c:v>32.471069847869501</c:v>
                </c:pt>
                <c:pt idx="30">
                  <c:v>32.931060653725766</c:v>
                </c:pt>
                <c:pt idx="31">
                  <c:v>33.391619837643333</c:v>
                </c:pt>
                <c:pt idx="32">
                  <c:v>33.851396268951909</c:v>
                </c:pt>
                <c:pt idx="33">
                  <c:v>34.308931322221419</c:v>
                </c:pt>
                <c:pt idx="34">
                  <c:v>34.762652575258791</c:v>
                </c:pt>
                <c:pt idx="35">
                  <c:v>35.210867268018674</c:v>
                </c:pt>
                <c:pt idx="36">
                  <c:v>35.651755516319092</c:v>
                </c:pt>
                <c:pt idx="37">
                  <c:v>36.083363274273751</c:v>
                </c:pt>
                <c:pt idx="38">
                  <c:v>36.503595039356298</c:v>
                </c:pt>
                <c:pt idx="39">
                  <c:v>36.910206294020902</c:v>
                </c:pt>
                <c:pt idx="40">
                  <c:v>37.300795677804722</c:v>
                </c:pt>
                <c:pt idx="41">
                  <c:v>37.672796883837144</c:v>
                </c:pt>
                <c:pt idx="42">
                  <c:v>38.023470273678278</c:v>
                </c:pt>
                <c:pt idx="43">
                  <c:v>38.349894204404833</c:v>
                </c:pt>
                <c:pt idx="44">
                  <c:v>38.64895606185501</c:v>
                </c:pt>
                <c:pt idx="45">
                  <c:v>38.917342993938043</c:v>
                </c:pt>
                <c:pt idx="46">
                  <c:v>39.151532337904627</c:v>
                </c:pt>
                <c:pt idx="47">
                  <c:v>39.347781735466789</c:v>
                </c:pt>
                <c:pt idx="48">
                  <c:v>39.502118929646393</c:v>
                </c:pt>
                <c:pt idx="49">
                  <c:v>39.610331237220528</c:v>
                </c:pt>
                <c:pt idx="50">
                  <c:v>39.667954690622217</c:v>
                </c:pt>
                <c:pt idx="51">
                  <c:v>39.670262843145551</c:v>
                </c:pt>
                <c:pt idx="52">
                  <c:v>39.612255231291215</c:v>
                </c:pt>
                <c:pt idx="53">
                  <c:v>39.488645488078738</c:v>
                </c:pt>
                <c:pt idx="54">
                  <c:v>39.29384910114041</c:v>
                </c:pt>
                <c:pt idx="55">
                  <c:v>39.02197080940001</c:v>
                </c:pt>
                <c:pt idx="56">
                  <c:v>38.666791632128216</c:v>
                </c:pt>
                <c:pt idx="57">
                  <c:v>38.221755524155043</c:v>
                </c:pt>
                <c:pt idx="58">
                  <c:v>37.679955651008214</c:v>
                </c:pt>
                <c:pt idx="59">
                  <c:v>37.034120277733521</c:v>
                </c:pt>
                <c:pt idx="60">
                  <c:v>36.276598265143953</c:v>
                </c:pt>
                <c:pt idx="61">
                  <c:v>35.399344167229685</c:v>
                </c:pt>
                <c:pt idx="62">
                  <c:v>34.393902923451471</c:v>
                </c:pt>
                <c:pt idx="63">
                  <c:v>33.251394139626072</c:v>
                </c:pt>
                <c:pt idx="64">
                  <c:v>31.962495951105513</c:v>
                </c:pt>
                <c:pt idx="65">
                  <c:v>30.517428461931502</c:v>
                </c:pt>
                <c:pt idx="66">
                  <c:v>28.905936753642695</c:v>
                </c:pt>
                <c:pt idx="67">
                  <c:v>27.117273457397761</c:v>
                </c:pt>
                <c:pt idx="68">
                  <c:v>25.140180883062882</c:v>
                </c:pt>
                <c:pt idx="69">
                  <c:v>22.962872698905688</c:v>
                </c:pt>
                <c:pt idx="70">
                  <c:v>20.573015155520334</c:v>
                </c:pt>
                <c:pt idx="71">
                  <c:v>17.957707847601299</c:v>
                </c:pt>
                <c:pt idx="72">
                  <c:v>15.103464007167954</c:v>
                </c:pt>
                <c:pt idx="73">
                  <c:v>11.996190321833536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2A-4D0B-81F9-C5E0181A3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604144"/>
        <c:axId val="1576602224"/>
      </c:scatterChart>
      <c:valAx>
        <c:axId val="157660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02224"/>
        <c:crosses val="autoZero"/>
        <c:crossBetween val="midCat"/>
      </c:valAx>
      <c:valAx>
        <c:axId val="15766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(Klb)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0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'50000'!$Z$25</c:f>
              <c:strCache>
                <c:ptCount val="1"/>
                <c:pt idx="0">
                  <c:v>L/D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'50000'!$Z$26:$Z$125</c:f>
              <c:numCache>
                <c:formatCode>General</c:formatCode>
                <c:ptCount val="100"/>
                <c:pt idx="0">
                  <c:v>8.0443391730024225E-2</c:v>
                </c:pt>
                <c:pt idx="1">
                  <c:v>0.13454362544502213</c:v>
                </c:pt>
                <c:pt idx="2">
                  <c:v>0.20253639686896388</c:v>
                </c:pt>
                <c:pt idx="3">
                  <c:v>0.28445543273156454</c:v>
                </c:pt>
                <c:pt idx="4">
                  <c:v>0.38032742088094024</c:v>
                </c:pt>
                <c:pt idx="5">
                  <c:v>0.49016419775238579</c:v>
                </c:pt>
                <c:pt idx="6">
                  <c:v>0.61395356538414747</c:v>
                </c:pt>
                <c:pt idx="7">
                  <c:v>0.75164876195191932</c:v>
                </c:pt>
                <c:pt idx="8">
                  <c:v>0.903156647907425</c:v>
                </c:pt>
                <c:pt idx="9">
                  <c:v>1.0683247218654803</c:v>
                </c:pt>
                <c:pt idx="10">
                  <c:v>1.24692714735979</c:v>
                </c:pt>
                <c:pt idx="11">
                  <c:v>1.4386500535562996</c:v>
                </c:pt>
                <c:pt idx="12">
                  <c:v>1.6430764687482233</c:v>
                </c:pt>
                <c:pt idx="13">
                  <c:v>1.8596713519871213</c:v>
                </c:pt>
                <c:pt idx="14">
                  <c:v>2.0877673003830037</c:v>
                </c:pt>
                <c:pt idx="15">
                  <c:v>2.3265516197838978</c:v>
                </c:pt>
                <c:pt idx="16">
                  <c:v>2.575055544446744</c:v>
                </c:pt>
                <c:pt idx="17">
                  <c:v>2.8321464642450134</c:v>
                </c:pt>
                <c:pt idx="18">
                  <c:v>3.0965240514884171</c:v>
                </c:pt>
                <c:pt idx="19">
                  <c:v>3.3667211585999497</c:v>
                </c:pt>
                <c:pt idx="20">
                  <c:v>3.641110269039336</c:v>
                </c:pt>
                <c:pt idx="21">
                  <c:v>3.917916116901567</c:v>
                </c:pt>
                <c:pt idx="22">
                  <c:v>4.1952348416237379</c:v>
                </c:pt>
                <c:pt idx="23">
                  <c:v>4.4710597178368801</c:v>
                </c:pt>
                <c:pt idx="24">
                  <c:v>4.7433131115519318</c:v>
                </c:pt>
                <c:pt idx="25">
                  <c:v>5.0098838883660326</c:v>
                </c:pt>
                <c:pt idx="26">
                  <c:v>5.2686690726687431</c:v>
                </c:pt>
                <c:pt idx="27">
                  <c:v>5.5176181709065011</c:v>
                </c:pt>
                <c:pt idx="28">
                  <c:v>7.2125500000000002</c:v>
                </c:pt>
                <c:pt idx="29">
                  <c:v>8.0901999999999905</c:v>
                </c:pt>
                <c:pt idx="30">
                  <c:v>8.9678500000000003</c:v>
                </c:pt>
                <c:pt idx="31">
                  <c:v>9.8454999999999906</c:v>
                </c:pt>
                <c:pt idx="32">
                  <c:v>10.72315</c:v>
                </c:pt>
                <c:pt idx="33">
                  <c:v>12.681266818009172</c:v>
                </c:pt>
                <c:pt idx="34">
                  <c:v>13.110572991799915</c:v>
                </c:pt>
                <c:pt idx="35">
                  <c:v>12.925365984901472</c:v>
                </c:pt>
                <c:pt idx="36">
                  <c:v>12.589097960632845</c:v>
                </c:pt>
                <c:pt idx="37">
                  <c:v>12.209058400802492</c:v>
                </c:pt>
                <c:pt idx="38">
                  <c:v>11.82025711637489</c:v>
                </c:pt>
                <c:pt idx="39">
                  <c:v>11.436146248777945</c:v>
                </c:pt>
                <c:pt idx="40">
                  <c:v>11.06228519939947</c:v>
                </c:pt>
                <c:pt idx="41">
                  <c:v>10.700957520363183</c:v>
                </c:pt>
                <c:pt idx="42">
                  <c:v>9.852955278436367</c:v>
                </c:pt>
                <c:pt idx="43">
                  <c:v>9.5413966130683416</c:v>
                </c:pt>
                <c:pt idx="44">
                  <c:v>9.2392967086700626</c:v>
                </c:pt>
                <c:pt idx="45">
                  <c:v>8.9481379309824565</c:v>
                </c:pt>
                <c:pt idx="46">
                  <c:v>8.6680777967490368</c:v>
                </c:pt>
                <c:pt idx="47">
                  <c:v>8.3989239894658052</c:v>
                </c:pt>
                <c:pt idx="48">
                  <c:v>8.1403527445003458</c:v>
                </c:pt>
                <c:pt idx="49">
                  <c:v>7.8919863804881292</c:v>
                </c:pt>
                <c:pt idx="50">
                  <c:v>7.653427178490066</c:v>
                </c:pt>
                <c:pt idx="51">
                  <c:v>7.4242739354092029</c:v>
                </c:pt>
                <c:pt idx="52">
                  <c:v>7.204130569336523</c:v>
                </c:pt>
                <c:pt idx="53">
                  <c:v>6.992610726019679</c:v>
                </c:pt>
                <c:pt idx="54">
                  <c:v>6.7893402432226591</c:v>
                </c:pt>
                <c:pt idx="55">
                  <c:v>6.5939584149444084</c:v>
                </c:pt>
                <c:pt idx="56">
                  <c:v>6.4061185602868953</c:v>
                </c:pt>
                <c:pt idx="57">
                  <c:v>6.2254881789182175</c:v>
                </c:pt>
                <c:pt idx="58">
                  <c:v>6.0517488558744272</c:v>
                </c:pt>
                <c:pt idx="59">
                  <c:v>5.884596012290439</c:v>
                </c:pt>
                <c:pt idx="60">
                  <c:v>5.7237385608493012</c:v>
                </c:pt>
                <c:pt idx="61">
                  <c:v>5.568898502602301</c:v>
                </c:pt>
                <c:pt idx="62">
                  <c:v>5.4198104885739733</c:v>
                </c:pt>
                <c:pt idx="63">
                  <c:v>5.2762213614866145</c:v>
                </c:pt>
                <c:pt idx="64">
                  <c:v>5.1378896879049858</c:v>
                </c:pt>
                <c:pt idx="65">
                  <c:v>5.0045852878996335</c:v>
                </c:pt>
                <c:pt idx="66">
                  <c:v>4.8760887672337363</c:v>
                </c:pt>
                <c:pt idx="67">
                  <c:v>4.7521910556789271</c:v>
                </c:pt>
                <c:pt idx="68">
                  <c:v>4.6326929540893911</c:v>
                </c:pt>
                <c:pt idx="69">
                  <c:v>4.5174046921740185</c:v>
                </c:pt>
                <c:pt idx="70">
                  <c:v>4.4061454983923145</c:v>
                </c:pt>
                <c:pt idx="71">
                  <c:v>4.2987431830081002</c:v>
                </c:pt>
                <c:pt idx="72">
                  <c:v>4.1950337350327107</c:v>
                </c:pt>
                <c:pt idx="73">
                  <c:v>4.0948609335442256</c:v>
                </c:pt>
                <c:pt idx="74">
                  <c:v>3.9980759736718854</c:v>
                </c:pt>
                <c:pt idx="75">
                  <c:v>3.9045371073766071</c:v>
                </c:pt>
                <c:pt idx="76">
                  <c:v>3.8141092990220025</c:v>
                </c:pt>
                <c:pt idx="77">
                  <c:v>3.726663895624561</c:v>
                </c:pt>
                <c:pt idx="78">
                  <c:v>3.642078311581594</c:v>
                </c:pt>
                <c:pt idx="79">
                  <c:v>3.5602357276048795</c:v>
                </c:pt>
                <c:pt idx="80">
                  <c:v>3.4810248035267257</c:v>
                </c:pt>
                <c:pt idx="81">
                  <c:v>3.4043394046043161</c:v>
                </c:pt>
                <c:pt idx="82">
                  <c:v>3.3300783409107382</c:v>
                </c:pt>
                <c:pt idx="83">
                  <c:v>3.2581451193750044</c:v>
                </c:pt>
                <c:pt idx="84">
                  <c:v>3.1884477080180584</c:v>
                </c:pt>
                <c:pt idx="85">
                  <c:v>3.1208983119174234</c:v>
                </c:pt>
                <c:pt idx="86">
                  <c:v>3.0554131604279866</c:v>
                </c:pt>
                <c:pt idx="87">
                  <c:v>2.9919123051882801</c:v>
                </c:pt>
                <c:pt idx="88">
                  <c:v>2.9303194284396179</c:v>
                </c:pt>
                <c:pt idx="89">
                  <c:v>2.870561661195449</c:v>
                </c:pt>
                <c:pt idx="90">
                  <c:v>2.81256941080319</c:v>
                </c:pt>
                <c:pt idx="91">
                  <c:v>2.7562761974551324</c:v>
                </c:pt>
                <c:pt idx="92">
                  <c:v>2.7016184992149288</c:v>
                </c:pt>
                <c:pt idx="93">
                  <c:v>2.6485356051384517</c:v>
                </c:pt>
                <c:pt idx="94">
                  <c:v>2.596969476086274</c:v>
                </c:pt>
                <c:pt idx="95">
                  <c:v>2.5468646128345487</c:v>
                </c:pt>
                <c:pt idx="96">
                  <c:v>2.4981679311121385</c:v>
                </c:pt>
                <c:pt idx="97">
                  <c:v>2.4508286432019801</c:v>
                </c:pt>
                <c:pt idx="98">
                  <c:v>2.4047981457641967</c:v>
                </c:pt>
                <c:pt idx="99">
                  <c:v>2.3600299135517022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A7-4060-B231-8D312AA6E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453584"/>
        <c:axId val="926449744"/>
      </c:scatterChart>
      <c:valAx>
        <c:axId val="9264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49744"/>
        <c:crosses val="autoZero"/>
        <c:crossBetween val="midCat"/>
      </c:valAx>
      <c:valAx>
        <c:axId val="9264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5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Required &amp; Available (wet, dry) vs 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'50000'!$AD$25</c:f>
              <c:strCache>
                <c:ptCount val="1"/>
                <c:pt idx="0">
                  <c:v>Power Required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'50000'!$V$41:$V$104</c:f>
              <c:numCache>
                <c:formatCode>General</c:formatCode>
                <c:ptCount val="64"/>
                <c:pt idx="0">
                  <c:v>0.53939393939393898</c:v>
                </c:pt>
                <c:pt idx="1">
                  <c:v>0.56868686868686902</c:v>
                </c:pt>
                <c:pt idx="2">
                  <c:v>0.59797979797979794</c:v>
                </c:pt>
                <c:pt idx="3">
                  <c:v>0.62727272727272698</c:v>
                </c:pt>
                <c:pt idx="4">
                  <c:v>0.65656565656565702</c:v>
                </c:pt>
                <c:pt idx="5">
                  <c:v>0.68585858585858595</c:v>
                </c:pt>
                <c:pt idx="6">
                  <c:v>0.71515151515151498</c:v>
                </c:pt>
                <c:pt idx="7">
                  <c:v>0.74444444444444402</c:v>
                </c:pt>
                <c:pt idx="8">
                  <c:v>0.77373737373737395</c:v>
                </c:pt>
                <c:pt idx="9">
                  <c:v>0.80303030303030298</c:v>
                </c:pt>
                <c:pt idx="10">
                  <c:v>0.83232323232323202</c:v>
                </c:pt>
                <c:pt idx="11">
                  <c:v>0.86161616161616195</c:v>
                </c:pt>
                <c:pt idx="12">
                  <c:v>0.89090909090909098</c:v>
                </c:pt>
                <c:pt idx="13">
                  <c:v>0.92020202020202002</c:v>
                </c:pt>
                <c:pt idx="14">
                  <c:v>0.94949494949494895</c:v>
                </c:pt>
                <c:pt idx="15">
                  <c:v>0.97878787878787898</c:v>
                </c:pt>
                <c:pt idx="16">
                  <c:v>1.0080808080807999</c:v>
                </c:pt>
                <c:pt idx="17">
                  <c:v>1.03737373737373</c:v>
                </c:pt>
                <c:pt idx="18">
                  <c:v>1.06666666666666</c:v>
                </c:pt>
                <c:pt idx="19">
                  <c:v>1.09595959595959</c:v>
                </c:pt>
                <c:pt idx="20">
                  <c:v>1.1252525252525201</c:v>
                </c:pt>
                <c:pt idx="21">
                  <c:v>1.1545454545454501</c:v>
                </c:pt>
                <c:pt idx="22">
                  <c:v>1.1838383838383799</c:v>
                </c:pt>
                <c:pt idx="23">
                  <c:v>1.21313131313131</c:v>
                </c:pt>
                <c:pt idx="24">
                  <c:v>1.24242424242424</c:v>
                </c:pt>
                <c:pt idx="25">
                  <c:v>1.27171717171717</c:v>
                </c:pt>
                <c:pt idx="26">
                  <c:v>1.3010101010101001</c:v>
                </c:pt>
                <c:pt idx="27">
                  <c:v>1.3303030303030301</c:v>
                </c:pt>
                <c:pt idx="28">
                  <c:v>1.3595959595959599</c:v>
                </c:pt>
                <c:pt idx="29">
                  <c:v>1.38888888888888</c:v>
                </c:pt>
                <c:pt idx="30">
                  <c:v>1.41818181818181</c:v>
                </c:pt>
                <c:pt idx="31">
                  <c:v>1.44747474747474</c:v>
                </c:pt>
                <c:pt idx="32">
                  <c:v>1.4767676767676701</c:v>
                </c:pt>
                <c:pt idx="33">
                  <c:v>1.5060606060606001</c:v>
                </c:pt>
                <c:pt idx="34">
                  <c:v>1.5353535353535299</c:v>
                </c:pt>
                <c:pt idx="35">
                  <c:v>1.56464646464646</c:v>
                </c:pt>
                <c:pt idx="36">
                  <c:v>1.59393939393939</c:v>
                </c:pt>
                <c:pt idx="37">
                  <c:v>1.62323232323232</c:v>
                </c:pt>
                <c:pt idx="38">
                  <c:v>1.6525252525252501</c:v>
                </c:pt>
                <c:pt idx="39">
                  <c:v>1.6818181818181801</c:v>
                </c:pt>
                <c:pt idx="40">
                  <c:v>1.7111111111111099</c:v>
                </c:pt>
                <c:pt idx="41">
                  <c:v>1.74040404040404</c:v>
                </c:pt>
                <c:pt idx="42">
                  <c:v>1.76969696969697</c:v>
                </c:pt>
                <c:pt idx="43">
                  <c:v>1.79898989898989</c:v>
                </c:pt>
                <c:pt idx="44">
                  <c:v>1.8282828282828201</c:v>
                </c:pt>
                <c:pt idx="45">
                  <c:v>1.8575757575757501</c:v>
                </c:pt>
                <c:pt idx="46">
                  <c:v>1.8868686868686799</c:v>
                </c:pt>
                <c:pt idx="47">
                  <c:v>1.91616161616161</c:v>
                </c:pt>
                <c:pt idx="48">
                  <c:v>1.94545454545454</c:v>
                </c:pt>
                <c:pt idx="49">
                  <c:v>1.97474747474747</c:v>
                </c:pt>
                <c:pt idx="50">
                  <c:v>2.0040404040404001</c:v>
                </c:pt>
                <c:pt idx="51">
                  <c:v>2.0333333333333301</c:v>
                </c:pt>
                <c:pt idx="52">
                  <c:v>2.0626262626262601</c:v>
                </c:pt>
                <c:pt idx="53">
                  <c:v>2.0919191919191902</c:v>
                </c:pt>
                <c:pt idx="54">
                  <c:v>2.1212121212121202</c:v>
                </c:pt>
                <c:pt idx="55">
                  <c:v>2.1505050505050498</c:v>
                </c:pt>
                <c:pt idx="56">
                  <c:v>2.1797979797979798</c:v>
                </c:pt>
                <c:pt idx="57">
                  <c:v>2.2090909090909001</c:v>
                </c:pt>
                <c:pt idx="58">
                  <c:v>2.2383838383838301</c:v>
                </c:pt>
                <c:pt idx="59">
                  <c:v>2.2676767676767602</c:v>
                </c:pt>
                <c:pt idx="60">
                  <c:v>2.2969696969696898</c:v>
                </c:pt>
                <c:pt idx="61">
                  <c:v>2.3262626262626198</c:v>
                </c:pt>
                <c:pt idx="62">
                  <c:v>2.3555555555555499</c:v>
                </c:pt>
                <c:pt idx="63">
                  <c:v>2.3848484848484799</c:v>
                </c:pt>
              </c:numCache>
            </c:numRef>
          </c:xVal>
          <c:yVal>
            <c:numRef>
              <c:f>'50000'!$AD$41:$AD$104</c:f>
              <c:numCache>
                <c:formatCode>General</c:formatCode>
                <c:ptCount val="64"/>
                <c:pt idx="0">
                  <c:v>34062258.184616975</c:v>
                </c:pt>
                <c:pt idx="1">
                  <c:v>32446411.050585236</c:v>
                </c:pt>
                <c:pt idx="2">
                  <c:v>31020648.297197901</c:v>
                </c:pt>
                <c:pt idx="3">
                  <c:v>29761993.312949855</c:v>
                </c:pt>
                <c:pt idx="4">
                  <c:v>28651745.211412225</c:v>
                </c:pt>
                <c:pt idx="5">
                  <c:v>27674565.752976164</c:v>
                </c:pt>
                <c:pt idx="6">
                  <c:v>26817790.667184699</c:v>
                </c:pt>
                <c:pt idx="7">
                  <c:v>26070903.56653611</c:v>
                </c:pt>
                <c:pt idx="8">
                  <c:v>25425129.362895671</c:v>
                </c:pt>
                <c:pt idx="9">
                  <c:v>24873116.672013804</c:v>
                </c:pt>
                <c:pt idx="10">
                  <c:v>24408687.283109177</c:v>
                </c:pt>
                <c:pt idx="11">
                  <c:v>24026636.733132735</c:v>
                </c:pt>
                <c:pt idx="12">
                  <c:v>23722574.223523729</c:v>
                </c:pt>
                <c:pt idx="13" formatCode="0.00E+00">
                  <c:v>18542658.698333301</c:v>
                </c:pt>
                <c:pt idx="14" formatCode="0.00E+00">
                  <c:v>17407241.3866666</c:v>
                </c:pt>
                <c:pt idx="15" formatCode="0.00E+00">
                  <c:v>16271824.074999999</c:v>
                </c:pt>
                <c:pt idx="16" formatCode="0.00E+00">
                  <c:v>15136406.7633333</c:v>
                </c:pt>
                <c:pt idx="17" formatCode="0.00E+00">
                  <c:v>14000989.451666599</c:v>
                </c:pt>
                <c:pt idx="18">
                  <c:v>12357941.928607062</c:v>
                </c:pt>
                <c:pt idx="19">
                  <c:v>12281543.128521416</c:v>
                </c:pt>
                <c:pt idx="20">
                  <c:v>12790490.927051965</c:v>
                </c:pt>
                <c:pt idx="21">
                  <c:v>13473998.344395366</c:v>
                </c:pt>
                <c:pt idx="22">
                  <c:v>14245913.819845065</c:v>
                </c:pt>
                <c:pt idx="23">
                  <c:v>15078597.763551775</c:v>
                </c:pt>
                <c:pt idx="24">
                  <c:v>15961374.336164398</c:v>
                </c:pt>
                <c:pt idx="25">
                  <c:v>16889848.398620166</c:v>
                </c:pt>
                <c:pt idx="26">
                  <c:v>17862329.451987125</c:v>
                </c:pt>
                <c:pt idx="27">
                  <c:v>19836458.390152458</c:v>
                </c:pt>
                <c:pt idx="28">
                  <c:v>20935241.896080155</c:v>
                </c:pt>
                <c:pt idx="29">
                  <c:v>22085572.232985064</c:v>
                </c:pt>
                <c:pt idx="30">
                  <c:v>23285164.485470425</c:v>
                </c:pt>
                <c:pt idx="31">
                  <c:v>24533994.418191802</c:v>
                </c:pt>
                <c:pt idx="32">
                  <c:v>25832628.235986989</c:v>
                </c:pt>
                <c:pt idx="33">
                  <c:v>27181867.502236113</c:v>
                </c:pt>
                <c:pt idx="34">
                  <c:v>28582626.422222763</c:v>
                </c:pt>
                <c:pt idx="35">
                  <c:v>30035878.280663796</c:v>
                </c:pt>
                <c:pt idx="36">
                  <c:v>31542628.669241589</c:v>
                </c:pt>
                <c:pt idx="37">
                  <c:v>33103900.922994349</c:v>
                </c:pt>
                <c:pt idx="38">
                  <c:v>34720727.756301172</c:v>
                </c:pt>
                <c:pt idx="39">
                  <c:v>36394146.292913511</c:v>
                </c:pt>
                <c:pt idx="40">
                  <c:v>38125195.056544729</c:v>
                </c:pt>
                <c:pt idx="41">
                  <c:v>39914912.138831601</c:v>
                </c:pt>
                <c:pt idx="42">
                  <c:v>41764334.094400175</c:v>
                </c:pt>
                <c:pt idx="43">
                  <c:v>43674495.293836422</c:v>
                </c:pt>
                <c:pt idx="44">
                  <c:v>45646427.568628781</c:v>
                </c:pt>
                <c:pt idx="45">
                  <c:v>47681160.043314636</c:v>
                </c:pt>
                <c:pt idx="46">
                  <c:v>49779719.087481081</c:v>
                </c:pt>
                <c:pt idx="47">
                  <c:v>51943128.343699433</c:v>
                </c:pt>
                <c:pt idx="48">
                  <c:v>54172408.802477226</c:v>
                </c:pt>
                <c:pt idx="49">
                  <c:v>56468578.905088961</c:v>
                </c:pt>
                <c:pt idx="50">
                  <c:v>58832654.661574431</c:v>
                </c:pt>
                <c:pt idx="51">
                  <c:v>61265649.775519133</c:v>
                </c:pt>
                <c:pt idx="52">
                  <c:v>63768575.770083465</c:v>
                </c:pt>
                <c:pt idx="53">
                  <c:v>66342442.111766562</c:v>
                </c:pt>
                <c:pt idx="54">
                  <c:v>68988256.329669714</c:v>
                </c:pt>
                <c:pt idx="55">
                  <c:v>71707024.128941253</c:v>
                </c:pt>
                <c:pt idx="56">
                  <c:v>74499749.497719586</c:v>
                </c:pt>
                <c:pt idx="57">
                  <c:v>77367434.807265177</c:v>
                </c:pt>
                <c:pt idx="58">
                  <c:v>80311080.905272752</c:v>
                </c:pt>
                <c:pt idx="59">
                  <c:v>83331687.202536181</c:v>
                </c:pt>
                <c:pt idx="60">
                  <c:v>86430251.753204852</c:v>
                </c:pt>
                <c:pt idx="61">
                  <c:v>89607771.329000995</c:v>
                </c:pt>
                <c:pt idx="62">
                  <c:v>92865241.487754181</c:v>
                </c:pt>
                <c:pt idx="63">
                  <c:v>96203656.636642754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1-4A67-A939-7DBF069123F8}"/>
            </c:ext>
          </c:extLst>
        </c:ser>
        <c:ser>
          <c:idx val="1"/>
          <c:order val="1"/>
          <c:tx>
            <c:strRef>
              <c:f>'50000'!$AE$25</c:f>
              <c:strCache>
                <c:ptCount val="1"/>
                <c:pt idx="0">
                  <c:v>Power Available (dry)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'50000'!$V$41:$V$104</c:f>
              <c:numCache>
                <c:formatCode>General</c:formatCode>
                <c:ptCount val="64"/>
                <c:pt idx="0">
                  <c:v>0.53939393939393898</c:v>
                </c:pt>
                <c:pt idx="1">
                  <c:v>0.56868686868686902</c:v>
                </c:pt>
                <c:pt idx="2">
                  <c:v>0.59797979797979794</c:v>
                </c:pt>
                <c:pt idx="3">
                  <c:v>0.62727272727272698</c:v>
                </c:pt>
                <c:pt idx="4">
                  <c:v>0.65656565656565702</c:v>
                </c:pt>
                <c:pt idx="5">
                  <c:v>0.68585858585858595</c:v>
                </c:pt>
                <c:pt idx="6">
                  <c:v>0.71515151515151498</c:v>
                </c:pt>
                <c:pt idx="7">
                  <c:v>0.74444444444444402</c:v>
                </c:pt>
                <c:pt idx="8">
                  <c:v>0.77373737373737395</c:v>
                </c:pt>
                <c:pt idx="9">
                  <c:v>0.80303030303030298</c:v>
                </c:pt>
                <c:pt idx="10">
                  <c:v>0.83232323232323202</c:v>
                </c:pt>
                <c:pt idx="11">
                  <c:v>0.86161616161616195</c:v>
                </c:pt>
                <c:pt idx="12">
                  <c:v>0.89090909090909098</c:v>
                </c:pt>
                <c:pt idx="13">
                  <c:v>0.92020202020202002</c:v>
                </c:pt>
                <c:pt idx="14">
                  <c:v>0.94949494949494895</c:v>
                </c:pt>
                <c:pt idx="15">
                  <c:v>0.97878787878787898</c:v>
                </c:pt>
                <c:pt idx="16">
                  <c:v>1.0080808080807999</c:v>
                </c:pt>
                <c:pt idx="17">
                  <c:v>1.03737373737373</c:v>
                </c:pt>
                <c:pt idx="18">
                  <c:v>1.06666666666666</c:v>
                </c:pt>
                <c:pt idx="19">
                  <c:v>1.09595959595959</c:v>
                </c:pt>
                <c:pt idx="20">
                  <c:v>1.1252525252525201</c:v>
                </c:pt>
                <c:pt idx="21">
                  <c:v>1.1545454545454501</c:v>
                </c:pt>
                <c:pt idx="22">
                  <c:v>1.1838383838383799</c:v>
                </c:pt>
                <c:pt idx="23">
                  <c:v>1.21313131313131</c:v>
                </c:pt>
                <c:pt idx="24">
                  <c:v>1.24242424242424</c:v>
                </c:pt>
                <c:pt idx="25">
                  <c:v>1.27171717171717</c:v>
                </c:pt>
                <c:pt idx="26">
                  <c:v>1.3010101010101001</c:v>
                </c:pt>
                <c:pt idx="27">
                  <c:v>1.3303030303030301</c:v>
                </c:pt>
                <c:pt idx="28">
                  <c:v>1.3595959595959599</c:v>
                </c:pt>
                <c:pt idx="29">
                  <c:v>1.38888888888888</c:v>
                </c:pt>
                <c:pt idx="30">
                  <c:v>1.41818181818181</c:v>
                </c:pt>
                <c:pt idx="31">
                  <c:v>1.44747474747474</c:v>
                </c:pt>
                <c:pt idx="32">
                  <c:v>1.4767676767676701</c:v>
                </c:pt>
                <c:pt idx="33">
                  <c:v>1.5060606060606001</c:v>
                </c:pt>
                <c:pt idx="34">
                  <c:v>1.5353535353535299</c:v>
                </c:pt>
                <c:pt idx="35">
                  <c:v>1.56464646464646</c:v>
                </c:pt>
                <c:pt idx="36">
                  <c:v>1.59393939393939</c:v>
                </c:pt>
                <c:pt idx="37">
                  <c:v>1.62323232323232</c:v>
                </c:pt>
                <c:pt idx="38">
                  <c:v>1.6525252525252501</c:v>
                </c:pt>
                <c:pt idx="39">
                  <c:v>1.6818181818181801</c:v>
                </c:pt>
                <c:pt idx="40">
                  <c:v>1.7111111111111099</c:v>
                </c:pt>
                <c:pt idx="41">
                  <c:v>1.74040404040404</c:v>
                </c:pt>
                <c:pt idx="42">
                  <c:v>1.76969696969697</c:v>
                </c:pt>
                <c:pt idx="43">
                  <c:v>1.79898989898989</c:v>
                </c:pt>
                <c:pt idx="44">
                  <c:v>1.8282828282828201</c:v>
                </c:pt>
                <c:pt idx="45">
                  <c:v>1.8575757575757501</c:v>
                </c:pt>
                <c:pt idx="46">
                  <c:v>1.8868686868686799</c:v>
                </c:pt>
                <c:pt idx="47">
                  <c:v>1.91616161616161</c:v>
                </c:pt>
                <c:pt idx="48">
                  <c:v>1.94545454545454</c:v>
                </c:pt>
                <c:pt idx="49">
                  <c:v>1.97474747474747</c:v>
                </c:pt>
                <c:pt idx="50">
                  <c:v>2.0040404040404001</c:v>
                </c:pt>
                <c:pt idx="51">
                  <c:v>2.0333333333333301</c:v>
                </c:pt>
                <c:pt idx="52">
                  <c:v>2.0626262626262601</c:v>
                </c:pt>
                <c:pt idx="53">
                  <c:v>2.0919191919191902</c:v>
                </c:pt>
                <c:pt idx="54">
                  <c:v>2.1212121212121202</c:v>
                </c:pt>
                <c:pt idx="55">
                  <c:v>2.1505050505050498</c:v>
                </c:pt>
                <c:pt idx="56">
                  <c:v>2.1797979797979798</c:v>
                </c:pt>
                <c:pt idx="57">
                  <c:v>2.2090909090909001</c:v>
                </c:pt>
                <c:pt idx="58">
                  <c:v>2.2383838383838301</c:v>
                </c:pt>
                <c:pt idx="59">
                  <c:v>2.2676767676767602</c:v>
                </c:pt>
                <c:pt idx="60">
                  <c:v>2.2969696969696898</c:v>
                </c:pt>
                <c:pt idx="61">
                  <c:v>2.3262626262626198</c:v>
                </c:pt>
                <c:pt idx="62">
                  <c:v>2.3555555555555499</c:v>
                </c:pt>
                <c:pt idx="63">
                  <c:v>2.3848484848484799</c:v>
                </c:pt>
              </c:numCache>
            </c:numRef>
          </c:xVal>
          <c:yVal>
            <c:numRef>
              <c:f>'50000'!$AE$41:$AE$104</c:f>
              <c:numCache>
                <c:formatCode>General</c:formatCode>
                <c:ptCount val="64"/>
                <c:pt idx="0">
                  <c:v>6186593.9913731292</c:v>
                </c:pt>
                <c:pt idx="1">
                  <c:v>6593833.5934299566</c:v>
                </c:pt>
                <c:pt idx="2">
                  <c:v>7015396.6239272533</c:v>
                </c:pt>
                <c:pt idx="3">
                  <c:v>7452382.4510079725</c:v>
                </c:pt>
                <c:pt idx="4">
                  <c:v>7905913.930411431</c:v>
                </c:pt>
                <c:pt idx="5">
                  <c:v>8377139.0638861954</c:v>
                </c:pt>
                <c:pt idx="6">
                  <c:v>8867232.5095779859</c:v>
                </c:pt>
                <c:pt idx="7">
                  <c:v>9377396.9366652872</c:v>
                </c:pt>
                <c:pt idx="8">
                  <c:v>9908864.2152030766</c:v>
                </c:pt>
                <c:pt idx="9">
                  <c:v>10462896.430791939</c:v>
                </c:pt>
                <c:pt idx="10">
                  <c:v>11040786.712315595</c:v>
                </c:pt>
                <c:pt idx="11">
                  <c:v>11643859.859580431</c:v>
                </c:pt>
                <c:pt idx="12">
                  <c:v>12273472.75624612</c:v>
                </c:pt>
                <c:pt idx="13">
                  <c:v>12931014.551953841</c:v>
                </c:pt>
                <c:pt idx="14">
                  <c:v>13617906.5960357</c:v>
                </c:pt>
                <c:pt idx="15">
                  <c:v>14335602.103625832</c:v>
                </c:pt>
                <c:pt idx="16">
                  <c:v>15085585.533386219</c:v>
                </c:pt>
                <c:pt idx="17">
                  <c:v>15869371.654411238</c:v>
                </c:pt>
                <c:pt idx="18">
                  <c:v>16688504.278171914</c:v>
                </c:pt>
                <c:pt idx="19">
                  <c:v>17544554.629625142</c:v>
                </c:pt>
                <c:pt idx="20">
                  <c:v>18439119.329810668</c:v>
                </c:pt>
                <c:pt idx="21">
                  <c:v>19373817.96042031</c:v>
                </c:pt>
                <c:pt idx="22">
                  <c:v>20350290.178927056</c:v>
                </c:pt>
                <c:pt idx="23">
                  <c:v>21648501.792408641</c:v>
                </c:pt>
                <c:pt idx="24">
                  <c:v>22581083.782178499</c:v>
                </c:pt>
                <c:pt idx="25">
                  <c:v>23594608.432032477</c:v>
                </c:pt>
                <c:pt idx="26">
                  <c:v>24643260.771531127</c:v>
                </c:pt>
                <c:pt idx="27">
                  <c:v>25727524.210462362</c:v>
                </c:pt>
                <c:pt idx="28">
                  <c:v>26847784.010345221</c:v>
                </c:pt>
                <c:pt idx="29">
                  <c:v>28004314.670005243</c:v>
                </c:pt>
                <c:pt idx="30">
                  <c:v>29197266.259841248</c:v>
                </c:pt>
                <c:pt idx="31">
                  <c:v>30426649.643697683</c:v>
                </c:pt>
                <c:pt idx="32">
                  <c:v>31692320.524595723</c:v>
                </c:pt>
                <c:pt idx="33">
                  <c:v>32993962.247826654</c:v>
                </c:pt>
                <c:pt idx="34">
                  <c:v>34331067.29212071</c:v>
                </c:pt>
                <c:pt idx="35">
                  <c:v>35702917.376740828</c:v>
                </c:pt>
                <c:pt idx="36">
                  <c:v>37108562.109426647</c:v>
                </c:pt>
                <c:pt idx="37">
                  <c:v>38546796.09712635</c:v>
                </c:pt>
                <c:pt idx="38">
                  <c:v>40016134.438401774</c:v>
                </c:pt>
                <c:pt idx="39">
                  <c:v>41514786.51327581</c:v>
                </c:pt>
                <c:pt idx="40">
                  <c:v>43040627.983110286</c:v>
                </c:pt>
                <c:pt idx="41">
                  <c:v>44591170.909855783</c:v>
                </c:pt>
                <c:pt idx="42">
                  <c:v>46163531.900703274</c:v>
                </c:pt>
                <c:pt idx="43">
                  <c:v>47754398.180790573</c:v>
                </c:pt>
                <c:pt idx="44">
                  <c:v>49359991.493175581</c:v>
                </c:pt>
                <c:pt idx="45">
                  <c:v>50976029.721768484</c:v>
                </c:pt>
                <c:pt idx="46">
                  <c:v>52597686.129358411</c:v>
                </c:pt>
                <c:pt idx="47">
                  <c:v>54219546.09920752</c:v>
                </c:pt>
                <c:pt idx="48">
                  <c:v>55835561.264988534</c:v>
                </c:pt>
                <c:pt idx="49">
                  <c:v>57439000.910061255</c:v>
                </c:pt>
                <c:pt idx="50">
                  <c:v>59022400.513240375</c:v>
                </c:pt>
                <c:pt idx="51">
                  <c:v>60577507.314296417</c:v>
                </c:pt>
                <c:pt idx="52">
                  <c:v>62095222.768452518</c:v>
                </c:pt>
                <c:pt idx="53">
                  <c:v>63565541.755095229</c:v>
                </c:pt>
                <c:pt idx="54">
                  <c:v>64977488.401800968</c:v>
                </c:pt>
                <c:pt idx="55">
                  <c:v>66319048.380601659</c:v>
                </c:pt>
                <c:pt idx="56">
                  <c:v>67577097.529160231</c:v>
                </c:pt>
                <c:pt idx="57">
                  <c:v>68737326.645209342</c:v>
                </c:pt>
                <c:pt idx="58">
                  <c:v>69784162.298225209</c:v>
                </c:pt>
                <c:pt idx="59">
                  <c:v>70700683.497842938</c:v>
                </c:pt>
                <c:pt idx="60">
                  <c:v>71468534.054012671</c:v>
                </c:pt>
                <c:pt idx="61">
                  <c:v>72067830.459290832</c:v>
                </c:pt>
                <c:pt idx="62">
                  <c:v>72477065.119008556</c:v>
                </c:pt>
                <c:pt idx="63">
                  <c:v>72673004.750329867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81-4A67-A939-7DBF069123F8}"/>
            </c:ext>
          </c:extLst>
        </c:ser>
        <c:ser>
          <c:idx val="2"/>
          <c:order val="2"/>
          <c:tx>
            <c:strRef>
              <c:f>'50000'!$AF$25</c:f>
              <c:strCache>
                <c:ptCount val="1"/>
                <c:pt idx="0">
                  <c:v>Power Available (wet)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'50000'!$V$41:$V$104</c:f>
              <c:numCache>
                <c:formatCode>General</c:formatCode>
                <c:ptCount val="64"/>
                <c:pt idx="0">
                  <c:v>0.53939393939393898</c:v>
                </c:pt>
                <c:pt idx="1">
                  <c:v>0.56868686868686902</c:v>
                </c:pt>
                <c:pt idx="2">
                  <c:v>0.59797979797979794</c:v>
                </c:pt>
                <c:pt idx="3">
                  <c:v>0.62727272727272698</c:v>
                </c:pt>
                <c:pt idx="4">
                  <c:v>0.65656565656565702</c:v>
                </c:pt>
                <c:pt idx="5">
                  <c:v>0.68585858585858595</c:v>
                </c:pt>
                <c:pt idx="6">
                  <c:v>0.71515151515151498</c:v>
                </c:pt>
                <c:pt idx="7">
                  <c:v>0.74444444444444402</c:v>
                </c:pt>
                <c:pt idx="8">
                  <c:v>0.77373737373737395</c:v>
                </c:pt>
                <c:pt idx="9">
                  <c:v>0.80303030303030298</c:v>
                </c:pt>
                <c:pt idx="10">
                  <c:v>0.83232323232323202</c:v>
                </c:pt>
                <c:pt idx="11">
                  <c:v>0.86161616161616195</c:v>
                </c:pt>
                <c:pt idx="12">
                  <c:v>0.89090909090909098</c:v>
                </c:pt>
                <c:pt idx="13">
                  <c:v>0.92020202020202002</c:v>
                </c:pt>
                <c:pt idx="14">
                  <c:v>0.94949494949494895</c:v>
                </c:pt>
                <c:pt idx="15">
                  <c:v>0.97878787878787898</c:v>
                </c:pt>
                <c:pt idx="16">
                  <c:v>1.0080808080807999</c:v>
                </c:pt>
                <c:pt idx="17">
                  <c:v>1.03737373737373</c:v>
                </c:pt>
                <c:pt idx="18">
                  <c:v>1.06666666666666</c:v>
                </c:pt>
                <c:pt idx="19">
                  <c:v>1.09595959595959</c:v>
                </c:pt>
                <c:pt idx="20">
                  <c:v>1.1252525252525201</c:v>
                </c:pt>
                <c:pt idx="21">
                  <c:v>1.1545454545454501</c:v>
                </c:pt>
                <c:pt idx="22">
                  <c:v>1.1838383838383799</c:v>
                </c:pt>
                <c:pt idx="23">
                  <c:v>1.21313131313131</c:v>
                </c:pt>
                <c:pt idx="24">
                  <c:v>1.24242424242424</c:v>
                </c:pt>
                <c:pt idx="25">
                  <c:v>1.27171717171717</c:v>
                </c:pt>
                <c:pt idx="26">
                  <c:v>1.3010101010101001</c:v>
                </c:pt>
                <c:pt idx="27">
                  <c:v>1.3303030303030301</c:v>
                </c:pt>
                <c:pt idx="28">
                  <c:v>1.3595959595959599</c:v>
                </c:pt>
                <c:pt idx="29">
                  <c:v>1.38888888888888</c:v>
                </c:pt>
                <c:pt idx="30">
                  <c:v>1.41818181818181</c:v>
                </c:pt>
                <c:pt idx="31">
                  <c:v>1.44747474747474</c:v>
                </c:pt>
                <c:pt idx="32">
                  <c:v>1.4767676767676701</c:v>
                </c:pt>
                <c:pt idx="33">
                  <c:v>1.5060606060606001</c:v>
                </c:pt>
                <c:pt idx="34">
                  <c:v>1.5353535353535299</c:v>
                </c:pt>
                <c:pt idx="35">
                  <c:v>1.56464646464646</c:v>
                </c:pt>
                <c:pt idx="36">
                  <c:v>1.59393939393939</c:v>
                </c:pt>
                <c:pt idx="37">
                  <c:v>1.62323232323232</c:v>
                </c:pt>
                <c:pt idx="38">
                  <c:v>1.6525252525252501</c:v>
                </c:pt>
                <c:pt idx="39">
                  <c:v>1.6818181818181801</c:v>
                </c:pt>
                <c:pt idx="40">
                  <c:v>1.7111111111111099</c:v>
                </c:pt>
                <c:pt idx="41">
                  <c:v>1.74040404040404</c:v>
                </c:pt>
                <c:pt idx="42">
                  <c:v>1.76969696969697</c:v>
                </c:pt>
                <c:pt idx="43">
                  <c:v>1.79898989898989</c:v>
                </c:pt>
                <c:pt idx="44">
                  <c:v>1.8282828282828201</c:v>
                </c:pt>
                <c:pt idx="45">
                  <c:v>1.8575757575757501</c:v>
                </c:pt>
                <c:pt idx="46">
                  <c:v>1.8868686868686799</c:v>
                </c:pt>
                <c:pt idx="47">
                  <c:v>1.91616161616161</c:v>
                </c:pt>
                <c:pt idx="48">
                  <c:v>1.94545454545454</c:v>
                </c:pt>
                <c:pt idx="49">
                  <c:v>1.97474747474747</c:v>
                </c:pt>
                <c:pt idx="50">
                  <c:v>2.0040404040404001</c:v>
                </c:pt>
                <c:pt idx="51">
                  <c:v>2.0333333333333301</c:v>
                </c:pt>
                <c:pt idx="52">
                  <c:v>2.0626262626262601</c:v>
                </c:pt>
                <c:pt idx="53">
                  <c:v>2.0919191919191902</c:v>
                </c:pt>
                <c:pt idx="54">
                  <c:v>2.1212121212121202</c:v>
                </c:pt>
                <c:pt idx="55">
                  <c:v>2.1505050505050498</c:v>
                </c:pt>
                <c:pt idx="56">
                  <c:v>2.1797979797979798</c:v>
                </c:pt>
                <c:pt idx="57">
                  <c:v>2.2090909090909001</c:v>
                </c:pt>
                <c:pt idx="58">
                  <c:v>2.2383838383838301</c:v>
                </c:pt>
                <c:pt idx="59">
                  <c:v>2.2676767676767602</c:v>
                </c:pt>
                <c:pt idx="60">
                  <c:v>2.2969696969696898</c:v>
                </c:pt>
                <c:pt idx="61">
                  <c:v>2.3262626262626198</c:v>
                </c:pt>
                <c:pt idx="62">
                  <c:v>2.3555555555555499</c:v>
                </c:pt>
                <c:pt idx="63">
                  <c:v>2.3848484848484799</c:v>
                </c:pt>
              </c:numCache>
            </c:numRef>
          </c:xVal>
          <c:yVal>
            <c:numRef>
              <c:f>'50000'!$AF$41:$AF$104</c:f>
              <c:numCache>
                <c:formatCode>General</c:formatCode>
                <c:ptCount val="64"/>
                <c:pt idx="0">
                  <c:v>8121176.1662214659</c:v>
                </c:pt>
                <c:pt idx="1">
                  <c:v>8728895.8326513413</c:v>
                </c:pt>
                <c:pt idx="2">
                  <c:v>9366944.0485958997</c:v>
                </c:pt>
                <c:pt idx="3">
                  <c:v>10037718.91010271</c:v>
                </c:pt>
                <c:pt idx="4">
                  <c:v>10743745.102513433</c:v>
                </c:pt>
                <c:pt idx="5">
                  <c:v>11487683.394747838</c:v>
                </c:pt>
                <c:pt idx="6">
                  <c:v>12272340.494512694</c:v>
                </c:pt>
                <c:pt idx="7">
                  <c:v>13100679.295188835</c:v>
                </c:pt>
                <c:pt idx="8">
                  <c:v>13975829.543956786</c:v>
                </c:pt>
                <c:pt idx="9">
                  <c:v>14901098.959923057</c:v>
                </c:pt>
                <c:pt idx="10">
                  <c:v>15879984.830504844</c:v>
                </c:pt>
                <c:pt idx="11">
                  <c:v>16916186.11404416</c:v>
                </c:pt>
                <c:pt idx="12">
                  <c:v>18013616.076503787</c:v>
                </c:pt>
                <c:pt idx="13">
                  <c:v>19176415.49010779</c:v>
                </c:pt>
                <c:pt idx="14">
                  <c:v>20408966.421898969</c:v>
                </c:pt>
                <c:pt idx="15">
                  <c:v>21715906.640377481</c:v>
                </c:pt>
                <c:pt idx="16">
                  <c:v>23102144.668638222</c:v>
                </c:pt>
                <c:pt idx="17">
                  <c:v>24572875.512735121</c:v>
                </c:pt>
                <c:pt idx="18">
                  <c:v>26133597.09433949</c:v>
                </c:pt>
                <c:pt idx="19">
                  <c:v>27790127.417159654</c:v>
                </c:pt>
                <c:pt idx="20">
                  <c:v>29548622.496986531</c:v>
                </c:pt>
                <c:pt idx="21">
                  <c:v>31415595.085677009</c:v>
                </c:pt>
                <c:pt idx="22">
                  <c:v>33397934.219841555</c:v>
                </c:pt>
                <c:pt idx="23">
                  <c:v>37596044.550050482</c:v>
                </c:pt>
                <c:pt idx="24">
                  <c:v>39054931.324639857</c:v>
                </c:pt>
                <c:pt idx="25">
                  <c:v>40542041.893929191</c:v>
                </c:pt>
                <c:pt idx="26">
                  <c:v>42055956.954401687</c:v>
                </c:pt>
                <c:pt idx="27">
                  <c:v>43594984.827624775</c:v>
                </c:pt>
                <c:pt idx="28">
                  <c:v>45157139.091185398</c:v>
                </c:pt>
                <c:pt idx="29">
                  <c:v>46740114.863771521</c:v>
                </c:pt>
                <c:pt idx="30">
                  <c:v>48341263.689747311</c:v>
                </c:pt>
                <c:pt idx="31">
                  <c:v>49957566.967197292</c:v>
                </c:pt>
                <c:pt idx="32">
                  <c:v>51585607.862069771</c:v>
                </c:pt>
                <c:pt idx="33">
                  <c:v>53221541.649662331</c:v>
                </c:pt>
                <c:pt idx="34">
                  <c:v>54861064.423332095</c:v>
                </c:pt>
                <c:pt idx="35">
                  <c:v>56499380.108935148</c:v>
                </c:pt>
                <c:pt idx="36">
                  <c:v>58131165.722119808</c:v>
                </c:pt>
                <c:pt idx="37">
                  <c:v>59750534.80421754</c:v>
                </c:pt>
                <c:pt idx="38">
                  <c:v>61350998.971088514</c:v>
                </c:pt>
                <c:pt idx="39">
                  <c:v>62925427.507889487</c:v>
                </c:pt>
                <c:pt idx="40">
                  <c:v>64466004.941339605</c:v>
                </c:pt>
                <c:pt idx="41">
                  <c:v>65964186.519662105</c:v>
                </c:pt>
                <c:pt idx="42">
                  <c:v>67410651.528981343</c:v>
                </c:pt>
                <c:pt idx="43">
                  <c:v>68795254.373552069</c:v>
                </c:pt>
                <c:pt idx="44">
                  <c:v>70106973.34579204</c:v>
                </c:pt>
                <c:pt idx="45">
                  <c:v>71333857.010672614</c:v>
                </c:pt>
                <c:pt idx="46">
                  <c:v>72462968.127625123</c:v>
                </c:pt>
                <c:pt idx="47">
                  <c:v>73480325.031687334</c:v>
                </c:pt>
                <c:pt idx="48">
                  <c:v>74370840.394205958</c:v>
                </c:pt>
                <c:pt idx="49">
                  <c:v>75118257.281986281</c:v>
                </c:pt>
                <c:pt idx="50">
                  <c:v>75705082.432354331</c:v>
                </c:pt>
                <c:pt idx="51">
                  <c:v>76112516.660168394</c:v>
                </c:pt>
                <c:pt idx="52">
                  <c:v>76320382.311386317</c:v>
                </c:pt>
                <c:pt idx="53">
                  <c:v>76307047.676359937</c:v>
                </c:pt>
                <c:pt idx="54">
                  <c:v>76049348.274588361</c:v>
                </c:pt>
                <c:pt idx="55">
                  <c:v>75522504.921226129</c:v>
                </c:pt>
                <c:pt idx="56">
                  <c:v>74700038.48419261</c:v>
                </c:pt>
                <c:pt idx="57">
                  <c:v>73553681.239285678</c:v>
                </c:pt>
                <c:pt idx="58">
                  <c:v>72053284.729251996</c:v>
                </c:pt>
                <c:pt idx="59">
                  <c:v>70166724.031315878</c:v>
                </c:pt>
                <c:pt idx="60">
                  <c:v>67859798.336206302</c:v>
                </c:pt>
                <c:pt idx="61">
                  <c:v>65096127.740268834</c:v>
                </c:pt>
                <c:pt idx="62">
                  <c:v>61837046.15078751</c:v>
                </c:pt>
                <c:pt idx="63">
                  <c:v>58041490.203169391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81-4A67-A939-7DBF06912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604144"/>
        <c:axId val="1576602224"/>
      </c:scatterChart>
      <c:valAx>
        <c:axId val="157660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02224"/>
        <c:crosses val="autoZero"/>
        <c:crossBetween val="midCat"/>
      </c:valAx>
      <c:valAx>
        <c:axId val="15766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(lbf*ft/sec)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0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Specific Excess Power (wet, dry) vs Mach @ 35k 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'50000'!$AI$25</c:f>
              <c:strCache>
                <c:ptCount val="1"/>
                <c:pt idx="0">
                  <c:v>Dry (ft/s)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'50000'!$AI$26:$AI$125</c:f>
              <c:numCache>
                <c:formatCode>General</c:formatCode>
                <c:ptCount val="100"/>
                <c:pt idx="0">
                  <c:v>-8253.1124710498752</c:v>
                </c:pt>
                <c:pt idx="1">
                  <c:v>-6354.7485150997782</c:v>
                </c:pt>
                <c:pt idx="2">
                  <c:v>-5151.6680218800093</c:v>
                </c:pt>
                <c:pt idx="3">
                  <c:v>-4319.039879173617</c:v>
                </c:pt>
                <c:pt idx="4">
                  <c:v>-3707.0534702716304</c:v>
                </c:pt>
                <c:pt idx="5">
                  <c:v>-3237.1194374329466</c:v>
                </c:pt>
                <c:pt idx="6">
                  <c:v>-2864.0417119080075</c:v>
                </c:pt>
                <c:pt idx="7">
                  <c:v>-2559.9843802558689</c:v>
                </c:pt>
                <c:pt idx="8">
                  <c:v>-2306.8667695379713</c:v>
                </c:pt>
                <c:pt idx="9">
                  <c:v>-2092.4341761013811</c:v>
                </c:pt>
                <c:pt idx="10">
                  <c:v>-1908.0861032962687</c:v>
                </c:pt>
                <c:pt idx="11">
                  <c:v>-1747.6084839815696</c:v>
                </c:pt>
                <c:pt idx="12">
                  <c:v>-1606.3993559953749</c:v>
                </c:pt>
                <c:pt idx="13">
                  <c:v>-1480.9775498649681</c:v>
                </c:pt>
                <c:pt idx="14">
                  <c:v>-1368.6606257378519</c:v>
                </c:pt>
                <c:pt idx="15">
                  <c:v>-1267.3477216606025</c:v>
                </c:pt>
                <c:pt idx="16">
                  <c:v>-1175.3694876020556</c:v>
                </c:pt>
                <c:pt idx="17">
                  <c:v>-1091.3821032247356</c:v>
                </c:pt>
                <c:pt idx="18">
                  <c:v>-1014.2909708271411</c:v>
                </c:pt>
                <c:pt idx="19">
                  <c:v>-943.19481773295217</c:v>
                </c:pt>
                <c:pt idx="20">
                  <c:v>-877.34410842336592</c:v>
                </c:pt>
                <c:pt idx="21">
                  <c:v>-816.10966561624639</c:v>
                </c:pt>
                <c:pt idx="22">
                  <c:v>-758.95869053482807</c:v>
                </c:pt>
                <c:pt idx="23">
                  <c:v>-705.43622377170311</c:v>
                </c:pt>
                <c:pt idx="24">
                  <c:v>-655.1506598994805</c:v>
                </c:pt>
                <c:pt idx="25">
                  <c:v>-607.76231964678527</c:v>
                </c:pt>
                <c:pt idx="26">
                  <c:v>-562.97435461041493</c:v>
                </c:pt>
                <c:pt idx="27">
                  <c:v>-520.52545040817665</c:v>
                </c:pt>
                <c:pt idx="28">
                  <c:v>-424.61925438644511</c:v>
                </c:pt>
                <c:pt idx="29">
                  <c:v>-216.67174550836285</c:v>
                </c:pt>
                <c:pt idx="30">
                  <c:v>-37.510399936324163</c:v>
                </c:pt>
                <c:pt idx="31">
                  <c:v>109.06447241692626</c:v>
                </c:pt>
                <c:pt idx="32">
                  <c:v>173.5961191089558</c:v>
                </c:pt>
                <c:pt idx="33">
                  <c:v>196.88601100885666</c:v>
                </c:pt>
                <c:pt idx="34">
                  <c:v>239.27916439077916</c:v>
                </c:pt>
                <c:pt idx="35">
                  <c:v>256.8109691348148</c:v>
                </c:pt>
                <c:pt idx="36">
                  <c:v>268.23120327263644</c:v>
                </c:pt>
                <c:pt idx="37">
                  <c:v>277.53123359537562</c:v>
                </c:pt>
                <c:pt idx="38">
                  <c:v>298.6961259390763</c:v>
                </c:pt>
                <c:pt idx="39">
                  <c:v>300.96049465592552</c:v>
                </c:pt>
                <c:pt idx="40">
                  <c:v>304.82726057109039</c:v>
                </c:pt>
                <c:pt idx="41">
                  <c:v>308.29033521805638</c:v>
                </c:pt>
                <c:pt idx="42">
                  <c:v>267.83321802721139</c:v>
                </c:pt>
                <c:pt idx="43">
                  <c:v>268.80962282334804</c:v>
                </c:pt>
                <c:pt idx="44">
                  <c:v>269.09151619323433</c:v>
                </c:pt>
                <c:pt idx="45">
                  <c:v>268.78960307573414</c:v>
                </c:pt>
                <c:pt idx="46">
                  <c:v>267.90547923110415</c:v>
                </c:pt>
                <c:pt idx="47">
                  <c:v>266.40684218747185</c:v>
                </c:pt>
                <c:pt idx="48">
                  <c:v>264.24285293568016</c:v>
                </c:pt>
                <c:pt idx="49">
                  <c:v>261.34887366492097</c:v>
                </c:pt>
                <c:pt idx="50">
                  <c:v>257.64799852609394</c:v>
                </c:pt>
                <c:pt idx="51">
                  <c:v>253.05130006705787</c:v>
                </c:pt>
                <c:pt idx="52">
                  <c:v>247.457450712351</c:v>
                </c:pt>
                <c:pt idx="53">
                  <c:v>240.75198880653312</c:v>
                </c:pt>
                <c:pt idx="54">
                  <c:v>232.80635294396586</c:v>
                </c:pt>
                <c:pt idx="55">
                  <c:v>223.47674578344996</c:v>
                </c:pt>
                <c:pt idx="56">
                  <c:v>212.60285883302092</c:v>
                </c:pt>
                <c:pt idx="57">
                  <c:v>200.00647440371367</c:v>
                </c:pt>
                <c:pt idx="58">
                  <c:v>185.48995254545579</c:v>
                </c:pt>
                <c:pt idx="59">
                  <c:v>168.83460592684489</c:v>
                </c:pt>
                <c:pt idx="60">
                  <c:v>149.79896267975369</c:v>
                </c:pt>
                <c:pt idx="61">
                  <c:v>128.11691536675437</c:v>
                </c:pt>
                <c:pt idx="62">
                  <c:v>103.4957529977046</c:v>
                </c:pt>
                <c:pt idx="63">
                  <c:v>75.614072171553531</c:v>
                </c:pt>
                <c:pt idx="64">
                  <c:v>44.119562803064021</c:v>
                </c:pt>
                <c:pt idx="65">
                  <c:v>8.6266634271505822</c:v>
                </c:pt>
                <c:pt idx="66">
                  <c:v>-31.285919300889869</c:v>
                </c:pt>
                <c:pt idx="67">
                  <c:v>-76.077832601560146</c:v>
                </c:pt>
                <c:pt idx="68">
                  <c:v>-126.24984703176659</c:v>
                </c:pt>
                <c:pt idx="69">
                  <c:v>-182.34677962313188</c:v>
                </c:pt>
                <c:pt idx="70">
                  <c:v>-244.96057714297473</c:v>
                </c:pt>
                <c:pt idx="71">
                  <c:v>-314.73356614510283</c:v>
                </c:pt>
                <c:pt idx="72">
                  <c:v>-392.36187669088395</c:v>
                </c:pt>
                <c:pt idx="73">
                  <c:v>-478.59904683389692</c:v>
                </c:pt>
                <c:pt idx="74">
                  <c:v>-574.25981517274056</c:v>
                </c:pt>
                <c:pt idx="75">
                  <c:v>-680.22410898449607</c:v>
                </c:pt>
                <c:pt idx="76">
                  <c:v>-797.44123566664643</c:v>
                </c:pt>
                <c:pt idx="77">
                  <c:v>-926.93428542616789</c:v>
                </c:pt>
                <c:pt idx="78">
                  <c:v>-1069.804753371048</c:v>
                </c:pt>
                <c:pt idx="79">
                  <c:v>-1227.2373893760134</c:v>
                </c:pt>
                <c:pt idx="80">
                  <c:v>-1400.5052843187718</c:v>
                </c:pt>
                <c:pt idx="81">
                  <c:v>-1590.9752015019512</c:v>
                </c:pt>
                <c:pt idx="82">
                  <c:v>-1800.1131623050078</c:v>
                </c:pt>
                <c:pt idx="83">
                  <c:v>-2029.4902953410651</c:v>
                </c:pt>
                <c:pt idx="84">
                  <c:v>-2280.7889586225497</c:v>
                </c:pt>
                <c:pt idx="85">
                  <c:v>-2555.8091444794118</c:v>
                </c:pt>
                <c:pt idx="86">
                  <c:v>-2856.4751772123805</c:v>
                </c:pt>
                <c:pt idx="87">
                  <c:v>-3184.8427137010153</c:v>
                </c:pt>
                <c:pt idx="88">
                  <c:v>-3543.1060574383087</c:v>
                </c:pt>
                <c:pt idx="89">
                  <c:v>-3933.6057967073625</c:v>
                </c:pt>
                <c:pt idx="90">
                  <c:v>-4358.8367778721968</c:v>
                </c:pt>
                <c:pt idx="91">
                  <c:v>-4821.4564250036119</c:v>
                </c:pt>
                <c:pt idx="92">
                  <c:v>-5324.2934173228668</c:v>
                </c:pt>
                <c:pt idx="93">
                  <c:v>-5870.356736210796</c:v>
                </c:pt>
                <c:pt idx="94">
                  <c:v>-6462.845093784621</c:v>
                </c:pt>
                <c:pt idx="95">
                  <c:v>-7105.1567553256127</c:v>
                </c:pt>
                <c:pt idx="96">
                  <c:v>-7800.8997680972989</c:v>
                </c:pt>
                <c:pt idx="97">
                  <c:v>-8553.9026093820994</c:v>
                </c:pt>
                <c:pt idx="98">
                  <c:v>-9368.225266831183</c:v>
                </c:pt>
                <c:pt idx="99">
                  <c:v>-10248.170764508872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E6-4991-A350-71579ECCF5A1}"/>
            </c:ext>
          </c:extLst>
        </c:ser>
        <c:ser>
          <c:idx val="1"/>
          <c:order val="1"/>
          <c:tx>
            <c:strRef>
              <c:f>'50000'!$AJ$25</c:f>
              <c:strCache>
                <c:ptCount val="1"/>
                <c:pt idx="0">
                  <c:v>Wet (ft/s)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'50000'!$AJ$26:$AJ$125</c:f>
              <c:numCache>
                <c:formatCode>General</c:formatCode>
                <c:ptCount val="100"/>
                <c:pt idx="0">
                  <c:v>-8244.3775444748844</c:v>
                </c:pt>
                <c:pt idx="1">
                  <c:v>-6342.4910641547822</c:v>
                </c:pt>
                <c:pt idx="2">
                  <c:v>-5136.1990764310231</c:v>
                </c:pt>
                <c:pt idx="3">
                  <c:v>-4300.1311175397368</c:v>
                </c:pt>
                <c:pt idx="4">
                  <c:v>-3684.4521454507981</c:v>
                </c:pt>
                <c:pt idx="5">
                  <c:v>-3210.5482578898418</c:v>
                </c:pt>
                <c:pt idx="6">
                  <c:v>-2833.1980612286534</c:v>
                </c:pt>
                <c:pt idx="7">
                  <c:v>-2524.5390746467715</c:v>
                </c:pt>
                <c:pt idx="8">
                  <c:v>-2266.4624577894965</c:v>
                </c:pt>
                <c:pt idx="9">
                  <c:v>-2046.6834388846164</c:v>
                </c:pt>
                <c:pt idx="10">
                  <c:v>-1856.5692822790827</c:v>
                </c:pt>
                <c:pt idx="11">
                  <c:v>-1689.8712555674067</c:v>
                </c:pt>
                <c:pt idx="12">
                  <c:v>-1541.9500545459036</c:v>
                </c:pt>
                <c:pt idx="13">
                  <c:v>-1409.2842385745569</c:v>
                </c:pt>
                <c:pt idx="14">
                  <c:v>-1289.1479085538308</c:v>
                </c:pt>
                <c:pt idx="15">
                  <c:v>-1179.3932860402492</c:v>
                </c:pt>
                <c:pt idx="16">
                  <c:v>-1078.3003650253597</c:v>
                </c:pt>
                <c:pt idx="17">
                  <c:v>-984.47063197258228</c:v>
                </c:pt>
                <c:pt idx="18">
                  <c:v>-896.7504434177913</c:v>
                </c:pt>
                <c:pt idx="19">
                  <c:v>-814.17479347492633</c:v>
                </c:pt>
                <c:pt idx="20">
                  <c:v>-735.92536971588595</c:v>
                </c:pt>
                <c:pt idx="21">
                  <c:v>-661.29879485818731</c:v>
                </c:pt>
                <c:pt idx="22">
                  <c:v>-589.68224275362729</c:v>
                </c:pt>
                <c:pt idx="23">
                  <c:v>-520.53446832876364</c:v>
                </c:pt>
                <c:pt idx="24">
                  <c:v>-453.37086284890836</c:v>
                </c:pt>
                <c:pt idx="25">
                  <c:v>-387.75153650505678</c:v>
                </c:pt>
                <c:pt idx="26">
                  <c:v>-323.27170142429105</c:v>
                </c:pt>
                <c:pt idx="27">
                  <c:v>-259.55381907761114</c:v>
                </c:pt>
                <c:pt idx="28">
                  <c:v>-140.67643620079784</c:v>
                </c:pt>
                <c:pt idx="29">
                  <c:v>92.079075218435293</c:v>
                </c:pt>
                <c:pt idx="30">
                  <c:v>298.03002252580956</c:v>
                </c:pt>
                <c:pt idx="31">
                  <c:v>473.5317685210855</c:v>
                </c:pt>
                <c:pt idx="32">
                  <c:v>569.29488018042969</c:v>
                </c:pt>
                <c:pt idx="33">
                  <c:v>626.30059924830357</c:v>
                </c:pt>
                <c:pt idx="34">
                  <c:v>705.0870188467386</c:v>
                </c:pt>
                <c:pt idx="35">
                  <c:v>761.89681857312212</c:v>
                </c:pt>
                <c:pt idx="36">
                  <c:v>815.70224104391343</c:v>
                </c:pt>
                <c:pt idx="37">
                  <c:v>870.73331242868596</c:v>
                </c:pt>
                <c:pt idx="38">
                  <c:v>1023.740086860407</c:v>
                </c:pt>
                <c:pt idx="39">
                  <c:v>1049.9325372658625</c:v>
                </c:pt>
                <c:pt idx="40">
                  <c:v>1075.3305582516207</c:v>
                </c:pt>
                <c:pt idx="41">
                  <c:v>1099.9464795289718</c:v>
                </c:pt>
                <c:pt idx="42">
                  <c:v>1080.1649116522751</c:v>
                </c:pt>
                <c:pt idx="43">
                  <c:v>1101.2317414827394</c:v>
                </c:pt>
                <c:pt idx="44">
                  <c:v>1120.9016658797461</c:v>
                </c:pt>
                <c:pt idx="45">
                  <c:v>1139.1581567386893</c:v>
                </c:pt>
                <c:pt idx="46">
                  <c:v>1155.8650772620636</c:v>
                </c:pt>
                <c:pt idx="47">
                  <c:v>1170.8413413517271</c:v>
                </c:pt>
                <c:pt idx="48">
                  <c:v>1183.8757087453919</c:v>
                </c:pt>
                <c:pt idx="49">
                  <c:v>1194.7309416066607</c:v>
                </c:pt>
                <c:pt idx="50">
                  <c:v>1203.1447400399345</c:v>
                </c:pt>
                <c:pt idx="51">
                  <c:v>1208.8293797290314</c:v>
                </c:pt>
                <c:pt idx="52">
                  <c:v>1211.4707116997522</c:v>
                </c:pt>
                <c:pt idx="53">
                  <c:v>1210.7267944289736</c:v>
                </c:pt>
                <c:pt idx="54">
                  <c:v>1206.2262828049845</c:v>
                </c:pt>
                <c:pt idx="55">
                  <c:v>1197.5666360007597</c:v>
                </c:pt>
                <c:pt idx="56">
                  <c:v>1184.3121766927738</c:v>
                </c:pt>
                <c:pt idx="57">
                  <c:v>1165.9920188584649</c:v>
                </c:pt>
                <c:pt idx="58">
                  <c:v>1142.0978730895574</c:v>
                </c:pt>
                <c:pt idx="59">
                  <c:v>1112.0817335995926</c:v>
                </c:pt>
                <c:pt idx="60">
                  <c:v>1075.3534482588225</c:v>
                </c:pt>
                <c:pt idx="61">
                  <c:v>1031.2781712248516</c:v>
                </c:pt>
                <c:pt idx="62">
                  <c:v>979.17369660713575</c:v>
                </c:pt>
                <c:pt idx="63">
                  <c:v>918.30767085718969</c:v>
                </c:pt>
                <c:pt idx="64">
                  <c:v>847.89468106709137</c:v>
                </c:pt>
                <c:pt idx="65">
                  <c:v>767.09321600177611</c:v>
                </c:pt>
                <c:pt idx="66">
                  <c:v>675.00249642908614</c:v>
                </c:pt>
                <c:pt idx="67">
                  <c:v>570.65917111672934</c:v>
                </c:pt>
                <c:pt idx="68">
                  <c:v>453.03387470834645</c:v>
                </c:pt>
                <c:pt idx="69">
                  <c:v>321.02764356723702</c:v>
                </c:pt>
                <c:pt idx="70">
                  <c:v>173.46818556933312</c:v>
                </c:pt>
                <c:pt idx="71">
                  <c:v>9.1059997322616173</c:v>
                </c:pt>
                <c:pt idx="72">
                  <c:v>-173.38965851530358</c:v>
                </c:pt>
                <c:pt idx="73">
                  <c:v>-375.434970699426</c:v>
                </c:pt>
                <c:pt idx="74">
                  <c:v>-598.53591165140995</c:v>
                </c:pt>
                <c:pt idx="75">
                  <c:v>-844.29277326212195</c:v>
                </c:pt>
                <c:pt idx="76">
                  <c:v>-1114.4048601312079</c:v>
                </c:pt>
                <c:pt idx="77">
                  <c:v>-1410.6753616681744</c:v>
                </c:pt>
                <c:pt idx="78">
                  <c:v>-1735.0164052707028</c:v>
                </c:pt>
                <c:pt idx="79">
                  <c:v>-2089.4542952701609</c:v>
                </c:pt>
                <c:pt idx="80">
                  <c:v>-2476.1349424051837</c:v>
                </c:pt>
                <c:pt idx="81">
                  <c:v>-2897.3294886450667</c:v>
                </c:pt>
                <c:pt idx="82">
                  <c:v>-3355.4401322540625</c:v>
                </c:pt>
                <c:pt idx="83">
                  <c:v>-3853.0061580545462</c:v>
                </c:pt>
                <c:pt idx="84">
                  <c:v>-4392.7101779101013</c:v>
                </c:pt>
                <c:pt idx="85">
                  <c:v>-4977.3845865197154</c:v>
                </c:pt>
                <c:pt idx="86">
                  <c:v>-5610.0182376809298</c:v>
                </c:pt>
                <c:pt idx="87">
                  <c:v>-6293.7633462423919</c:v>
                </c:pt>
                <c:pt idx="88">
                  <c:v>-7031.9426210373786</c:v>
                </c:pt>
                <c:pt idx="89">
                  <c:v>-7828.0566341568529</c:v>
                </c:pt>
                <c:pt idx="90">
                  <c:v>-8685.791431988142</c:v>
                </c:pt>
                <c:pt idx="91">
                  <c:v>-9609.0263935097992</c:v>
                </c:pt>
                <c:pt idx="92">
                  <c:v>-10601.842341403619</c:v>
                </c:pt>
                <c:pt idx="93">
                  <c:v>-11668.52991161667</c:v>
                </c:pt>
                <c:pt idx="94">
                  <c:v>-12813.598187064008</c:v>
                </c:pt>
                <c:pt idx="95">
                  <c:v>-14041.783601244895</c:v>
                </c:pt>
                <c:pt idx="96">
                  <c:v>-15358.059117599068</c:v>
                </c:pt>
                <c:pt idx="97">
                  <c:v>-16767.643690512308</c:v>
                </c:pt>
                <c:pt idx="98">
                  <c:v>-18276.012013939697</c:v>
                </c:pt>
                <c:pt idx="99">
                  <c:v>-19888.904563689102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E6-4991-A350-71579ECCF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065464"/>
        <c:axId val="1172923312"/>
      </c:scatterChart>
      <c:valAx>
        <c:axId val="100606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23312"/>
        <c:crosses val="autoZero"/>
        <c:crossBetween val="midCat"/>
      </c:valAx>
      <c:valAx>
        <c:axId val="11729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P_s (ft/s)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65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Sink rate (ft/s) vs 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'50000'!$AP$25</c:f>
              <c:strCache>
                <c:ptCount val="1"/>
                <c:pt idx="0">
                  <c:v>Sink rate (ft/s)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'50000'!$AP$26:$AP$125</c:f>
              <c:numCache>
                <c:formatCode>General</c:formatCode>
                <c:ptCount val="100"/>
                <c:pt idx="0">
                  <c:v>96.495864386726112</c:v>
                </c:pt>
                <c:pt idx="1">
                  <c:v>124.0476371397633</c:v>
                </c:pt>
                <c:pt idx="2">
                  <c:v>150.46797560378127</c:v>
                </c:pt>
                <c:pt idx="3">
                  <c:v>174.94090263193056</c:v>
                </c:pt>
                <c:pt idx="4">
                  <c:v>196.50629731846468</c:v>
                </c:pt>
                <c:pt idx="5">
                  <c:v>214.24340503567328</c:v>
                </c:pt>
                <c:pt idx="6">
                  <c:v>227.49898784998868</c:v>
                </c:pt>
                <c:pt idx="7">
                  <c:v>236.06265671336652</c:v>
                </c:pt>
                <c:pt idx="8">
                  <c:v>240.20446789559429</c:v>
                </c:pt>
                <c:pt idx="9">
                  <c:v>240.5670348917894</c:v>
                </c:pt>
                <c:pt idx="10">
                  <c:v>237.98138924385364</c:v>
                </c:pt>
                <c:pt idx="11">
                  <c:v>233.29288570694428</c:v>
                </c:pt>
                <c:pt idx="12">
                  <c:v>227.24713727032517</c:v>
                </c:pt>
                <c:pt idx="13">
                  <c:v>220.44116670068098</c:v>
                </c:pt>
                <c:pt idx="14">
                  <c:v>213.3206485341648</c:v>
                </c:pt>
                <c:pt idx="15">
                  <c:v>206.20070288997874</c:v>
                </c:pt>
                <c:pt idx="16">
                  <c:v>199.29406621214974</c:v>
                </c:pt>
                <c:pt idx="17">
                  <c:v>192.73795396679728</c:v>
                </c:pt>
                <c:pt idx="18">
                  <c:v>186.61620117314217</c:v>
                </c:pt>
                <c:pt idx="19">
                  <c:v>180.97611864421083</c:v>
                </c:pt>
                <c:pt idx="20">
                  <c:v>175.84071907257564</c:v>
                </c:pt>
                <c:pt idx="21">
                  <c:v>171.21730721891316</c:v>
                </c:pt>
                <c:pt idx="22">
                  <c:v>167.10338170154944</c:v>
                </c:pt>
                <c:pt idx="23">
                  <c:v>163.49061971785451</c:v>
                </c:pt>
                <c:pt idx="24">
                  <c:v>160.36752588962167</c:v>
                </c:pt>
                <c:pt idx="25">
                  <c:v>157.72116447412574</c:v>
                </c:pt>
                <c:pt idx="26">
                  <c:v>155.53826952959147</c:v>
                </c:pt>
                <c:pt idx="27">
                  <c:v>153.80593667884273</c:v>
                </c:pt>
                <c:pt idx="28">
                  <c:v>122.34017308041128</c:v>
                </c:pt>
                <c:pt idx="29">
                  <c:v>112.75872699580712</c:v>
                </c:pt>
                <c:pt idx="30">
                  <c:v>105.00891556088986</c:v>
                </c:pt>
                <c:pt idx="31">
                  <c:v>98.613926538124076</c:v>
                </c:pt>
                <c:pt idx="32">
                  <c:v>93.248515873625735</c:v>
                </c:pt>
                <c:pt idx="33">
                  <c:v>81.176314848991382</c:v>
                </c:pt>
                <c:pt idx="34">
                  <c:v>80.690532629858609</c:v>
                </c:pt>
                <c:pt idx="35">
                  <c:v>84.027338758081598</c:v>
                </c:pt>
                <c:pt idx="36">
                  <c:v>88.503399081420369</c:v>
                </c:pt>
                <c:pt idx="37">
                  <c:v>93.555151809420749</c:v>
                </c:pt>
                <c:pt idx="38">
                  <c:v>99.001462782681216</c:v>
                </c:pt>
                <c:pt idx="39">
                  <c:v>104.77207941259117</c:v>
                </c:pt>
                <c:pt idx="40">
                  <c:v>110.83777671606298</c:v>
                </c:pt>
                <c:pt idx="41">
                  <c:v>117.18696740433809</c:v>
                </c:pt>
                <c:pt idx="42">
                  <c:v>130.03734815666152</c:v>
                </c:pt>
                <c:pt idx="43">
                  <c:v>137.19397975143659</c:v>
                </c:pt>
                <c:pt idx="44">
                  <c:v>144.68015825363733</c:v>
                </c:pt>
                <c:pt idx="45">
                  <c:v>152.48018390740961</c:v>
                </c:pt>
                <c:pt idx="46">
                  <c:v>160.59297744168438</c:v>
                </c:pt>
                <c:pt idx="47">
                  <c:v>169.02122050453426</c:v>
                </c:pt>
                <c:pt idx="48">
                  <c:v>177.76904227884629</c:v>
                </c:pt>
                <c:pt idx="49">
                  <c:v>186.84121669759938</c:v>
                </c:pt>
                <c:pt idx="50">
                  <c:v>196.24280935685823</c:v>
                </c:pt>
                <c:pt idx="51">
                  <c:v>205.97899864693841</c:v>
                </c:pt>
                <c:pt idx="52">
                  <c:v>216.05497625328749</c:v>
                </c:pt>
                <c:pt idx="53">
                  <c:v>226.47588792815998</c:v>
                </c:pt>
                <c:pt idx="54">
                  <c:v>237.24679627785667</c:v>
                </c:pt>
                <c:pt idx="55">
                  <c:v>248.37265624026151</c:v>
                </c:pt>
                <c:pt idx="56">
                  <c:v>259.858298161341</c:v>
                </c:pt>
                <c:pt idx="57">
                  <c:v>271.70841554761142</c:v>
                </c:pt>
                <c:pt idx="58">
                  <c:v>283.92755575136448</c:v>
                </c:pt>
                <c:pt idx="59">
                  <c:v>296.5201125186278</c:v>
                </c:pt>
                <c:pt idx="60">
                  <c:v>309.49031972882204</c:v>
                </c:pt>
                <c:pt idx="61">
                  <c:v>322.84224589938026</c:v>
                </c:pt>
                <c:pt idx="62">
                  <c:v>336.57978918174854</c:v>
                </c:pt>
                <c:pt idx="63">
                  <c:v>350.70667267344913</c:v>
                </c:pt>
                <c:pt idx="64">
                  <c:v>365.22643993506722</c:v>
                </c:pt>
                <c:pt idx="65">
                  <c:v>380.14245064336836</c:v>
                </c:pt>
                <c:pt idx="66">
                  <c:v>395.4578763403548</c:v>
                </c:pt>
                <c:pt idx="67">
                  <c:v>411.17569625707972</c:v>
                </c:pt>
                <c:pt idx="68">
                  <c:v>427.29869320452605</c:v>
                </c:pt>
                <c:pt idx="69">
                  <c:v>443.82944953254599</c:v>
                </c:pt>
                <c:pt idx="70">
                  <c:v>460.77034316410192</c:v>
                </c:pt>
                <c:pt idx="71">
                  <c:v>478.12354371641328</c:v>
                </c:pt>
                <c:pt idx="72">
                  <c:v>495.89100872323905</c:v>
                </c:pt>
                <c:pt idx="73">
                  <c:v>514.07447997460474</c:v>
                </c:pt>
                <c:pt idx="74">
                  <c:v>532.67547999150656</c:v>
                </c:pt>
                <c:pt idx="75">
                  <c:v>551.69530865358274</c:v>
                </c:pt>
                <c:pt idx="76">
                  <c:v>571.13503999847887</c:v>
                </c:pt>
                <c:pt idx="77">
                  <c:v>590.99551921142597</c:v>
                </c:pt>
                <c:pt idx="78">
                  <c:v>611.27735982353613</c:v>
                </c:pt>
                <c:pt idx="79">
                  <c:v>631.98094113678349</c:v>
                </c:pt>
                <c:pt idx="80">
                  <c:v>653.1064058937319</c:v>
                </c:pt>
                <c:pt idx="81">
                  <c:v>674.65365820883346</c:v>
                </c:pt>
                <c:pt idx="82">
                  <c:v>696.6223617778154</c:v>
                </c:pt>
                <c:pt idx="83">
                  <c:v>719.01193838102199</c:v>
                </c:pt>
                <c:pt idx="84">
                  <c:v>741.82156669523465</c:v>
                </c:pt>
                <c:pt idx="85">
                  <c:v>765.05018142808524</c:v>
                </c:pt>
                <c:pt idx="86">
                  <c:v>788.69647278811613</c:v>
                </c:pt>
                <c:pt idx="87">
                  <c:v>812.75888630180407</c:v>
                </c:pt>
                <c:pt idx="88">
                  <c:v>837.23562298865193</c:v>
                </c:pt>
                <c:pt idx="89">
                  <c:v>862.12463990347317</c:v>
                </c:pt>
                <c:pt idx="90">
                  <c:v>887.42365105445333</c:v>
                </c:pt>
                <c:pt idx="91">
                  <c:v>913.13012870341061</c:v>
                </c:pt>
                <c:pt idx="92">
                  <c:v>939.24130505378105</c:v>
                </c:pt>
                <c:pt idx="93">
                  <c:v>965.7541743308459</c:v>
                </c:pt>
                <c:pt idx="94">
                  <c:v>992.66549525604921</c:v>
                </c:pt>
                <c:pt idx="95">
                  <c:v>1019.9717939173725</c:v>
                </c:pt>
                <c:pt idx="96">
                  <c:v>1047.6693670344573</c:v>
                </c:pt>
                <c:pt idx="97">
                  <c:v>1075.7542856173488</c:v>
                </c:pt>
                <c:pt idx="98">
                  <c:v>1104.2223990149287</c:v>
                </c:pt>
                <c:pt idx="99">
                  <c:v>1133.0693393483011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94-4266-99DA-0099AE888989}"/>
            </c:ext>
          </c:extLst>
        </c:ser>
        <c:ser>
          <c:idx val="1"/>
          <c:order val="1"/>
          <c:tx>
            <c:strRef>
              <c:f>'50000'!$AO$25</c:f>
              <c:strCache>
                <c:ptCount val="1"/>
                <c:pt idx="0">
                  <c:v>Vv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'50000'!$AO$26:$AO$125</c:f>
              <c:numCache>
                <c:formatCode>General</c:formatCode>
                <c:ptCount val="100"/>
                <c:pt idx="0">
                  <c:v>1263.3694275685</c:v>
                </c:pt>
                <c:pt idx="1">
                  <c:v>976.63522789161902</c:v>
                </c:pt>
                <c:pt idx="2">
                  <c:v>795.76001807898604</c:v>
                </c:pt>
                <c:pt idx="3">
                  <c:v>671.24993021497778</c:v>
                </c:pt>
                <c:pt idx="4">
                  <c:v>580.31843035493637</c:v>
                </c:pt>
                <c:pt idx="5">
                  <c:v>511.01515694407698</c:v>
                </c:pt>
                <c:pt idx="6">
                  <c:v>456.47044463971253</c:v>
                </c:pt>
                <c:pt idx="7">
                  <c:v>412.4559171895562</c:v>
                </c:pt>
                <c:pt idx="8">
                  <c:v>376.22742725615961</c:v>
                </c:pt>
                <c:pt idx="9">
                  <c:v>345.92724199288659</c:v>
                </c:pt>
                <c:pt idx="10">
                  <c:v>320.2536314727887</c:v>
                </c:pt>
                <c:pt idx="11">
                  <c:v>298.26799686239332</c:v>
                </c:pt>
                <c:pt idx="12">
                  <c:v>279.27707621912475</c:v>
                </c:pt>
                <c:pt idx="13">
                  <c:v>262.75820951403597</c:v>
                </c:pt>
                <c:pt idx="14">
                  <c:v>248.31035392393264</c:v>
                </c:pt>
                <c:pt idx="15">
                  <c:v>235.621060432809</c:v>
                </c:pt>
                <c:pt idx="16">
                  <c:v>224.44365659908971</c:v>
                </c:pt>
                <c:pt idx="17">
                  <c:v>214.58113573925897</c:v>
                </c:pt>
                <c:pt idx="18">
                  <c:v>205.87456025327143</c:v>
                </c:pt>
                <c:pt idx="19">
                  <c:v>198.19456929054803</c:v>
                </c:pt>
                <c:pt idx="20">
                  <c:v>191.43506265473007</c:v>
                </c:pt>
                <c:pt idx="21">
                  <c:v>185.50843696912696</c:v>
                </c:pt>
                <c:pt idx="22">
                  <c:v>180.34194654666041</c:v>
                </c:pt>
                <c:pt idx="23">
                  <c:v>175.87489090292655</c:v>
                </c:pt>
                <c:pt idx="24">
                  <c:v>172.056417832439</c:v>
                </c:pt>
                <c:pt idx="25">
                  <c:v>168.84379039838092</c:v>
                </c:pt>
                <c:pt idx="26">
                  <c:v>166.2010074320701</c:v>
                </c:pt>
                <c:pt idx="27">
                  <c:v>164.09769617878712</c:v>
                </c:pt>
                <c:pt idx="28" formatCode="0.00E+00">
                  <c:v>128.266308333333</c:v>
                </c:pt>
                <c:pt idx="29" formatCode="0.00E+00">
                  <c:v>120.412216666666</c:v>
                </c:pt>
                <c:pt idx="30" formatCode="0.00E+00">
                  <c:v>112.558125</c:v>
                </c:pt>
                <c:pt idx="31" formatCode="0.00E+00">
                  <c:v>104.704033333333</c:v>
                </c:pt>
                <c:pt idx="32">
                  <c:v>96.849941666666595</c:v>
                </c:pt>
                <c:pt idx="33">
                  <c:v>85.484390559298774</c:v>
                </c:pt>
                <c:pt idx="34">
                  <c:v>84.955912200805685</c:v>
                </c:pt>
                <c:pt idx="35">
                  <c:v>88.476489707580285</c:v>
                </c:pt>
                <c:pt idx="36">
                  <c:v>93.204559749656198</c:v>
                </c:pt>
                <c:pt idx="37">
                  <c:v>98.544180567047974</c:v>
                </c:pt>
                <c:pt idx="38">
                  <c:v>104.30415903818042</c:v>
                </c:pt>
                <c:pt idx="39">
                  <c:v>110.41064648939006</c:v>
                </c:pt>
                <c:pt idx="40">
                  <c:v>116.83324014112232</c:v>
                </c:pt>
                <c:pt idx="41">
                  <c:v>123.56024619583597</c:v>
                </c:pt>
                <c:pt idx="42">
                  <c:v>137.21601591376026</c:v>
                </c:pt>
                <c:pt idx="43">
                  <c:v>144.81670208816325</c:v>
                </c:pt>
                <c:pt idx="44">
                  <c:v>152.77395648863549</c:v>
                </c:pt>
                <c:pt idx="45">
                  <c:v>161.07197352219879</c:v>
                </c:pt>
                <c:pt idx="46">
                  <c:v>169.71058554413844</c:v>
                </c:pt>
                <c:pt idx="47">
                  <c:v>178.69370919978019</c:v>
                </c:pt>
                <c:pt idx="48">
                  <c:v>188.02688919530897</c:v>
                </c:pt>
                <c:pt idx="49">
                  <c:v>197.71644942203011</c:v>
                </c:pt>
                <c:pt idx="50">
                  <c:v>207.76912244523169</c:v>
                </c:pt>
                <c:pt idx="51">
                  <c:v>218.19186430926288</c:v>
                </c:pt>
                <c:pt idx="52">
                  <c:v>228.99175379573509</c:v>
                </c:pt>
                <c:pt idx="53">
                  <c:v>240.17593456658076</c:v>
                </c:pt>
                <c:pt idx="54">
                  <c:v>251.75158078496884</c:v>
                </c:pt>
                <c:pt idx="55">
                  <c:v>263.72587629811511</c:v>
                </c:pt>
                <c:pt idx="56">
                  <c:v>276.1060019644043</c:v>
                </c:pt>
                <c:pt idx="57">
                  <c:v>288.89912801015731</c:v>
                </c:pt>
                <c:pt idx="58">
                  <c:v>302.11240955389349</c:v>
                </c:pt>
                <c:pt idx="59">
                  <c:v>315.75298415026862</c:v>
                </c:pt>
                <c:pt idx="60">
                  <c:v>329.827970628971</c:v>
                </c:pt>
                <c:pt idx="61">
                  <c:v>344.34446876269334</c:v>
                </c:pt>
                <c:pt idx="62">
                  <c:v>359.30955946036562</c:v>
                </c:pt>
                <c:pt idx="63">
                  <c:v>374.73030528562566</c:v>
                </c:pt>
                <c:pt idx="64">
                  <c:v>390.6137511681369</c:v>
                </c:pt>
                <c:pt idx="65">
                  <c:v>406.96692521982567</c:v>
                </c:pt>
                <c:pt idx="66">
                  <c:v>423.79683959803293</c:v>
                </c:pt>
                <c:pt idx="67">
                  <c:v>441.11049137730419</c:v>
                </c:pt>
                <c:pt idx="68">
                  <c:v>458.91486340550904</c:v>
                </c:pt>
                <c:pt idx="69">
                  <c:v>477.2169251288297</c:v>
                </c:pt>
                <c:pt idx="70">
                  <c:v>496.0236333765007</c:v>
                </c:pt>
                <c:pt idx="71">
                  <c:v>515.34193310057276</c:v>
                </c:pt>
                <c:pt idx="72">
                  <c:v>535.17875806856239</c:v>
                </c:pt>
                <c:pt idx="73">
                  <c:v>555.54103150892638</c:v>
                </c:pt>
                <c:pt idx="74">
                  <c:v>576.43566671055407</c:v>
                </c:pt>
                <c:pt idx="75">
                  <c:v>597.86956757793052</c:v>
                </c:pt>
                <c:pt idx="76">
                  <c:v>619.84962914452444</c:v>
                </c:pt>
                <c:pt idx="77">
                  <c:v>642.38273804686617</c:v>
                </c:pt>
                <c:pt idx="78">
                  <c:v>665.47577296201223</c:v>
                </c:pt>
                <c:pt idx="79">
                  <c:v>689.13560501083475</c:v>
                </c:pt>
                <c:pt idx="80">
                  <c:v>713.369098130113</c:v>
                </c:pt>
                <c:pt idx="81">
                  <c:v>738.18310941553602</c:v>
                </c:pt>
                <c:pt idx="82">
                  <c:v>763.58448943800499</c:v>
                </c:pt>
                <c:pt idx="83">
                  <c:v>789.58008253561286</c:v>
                </c:pt>
                <c:pt idx="84">
                  <c:v>816.17672708296368</c:v>
                </c:pt>
                <c:pt idx="85">
                  <c:v>843.38125573994512</c:v>
                </c:pt>
                <c:pt idx="86">
                  <c:v>871.20049568188472</c:v>
                </c:pt>
                <c:pt idx="87">
                  <c:v>899.64126881207767</c:v>
                </c:pt>
                <c:pt idx="88">
                  <c:v>928.71039195867843</c:v>
                </c:pt>
                <c:pt idx="89">
                  <c:v>958.41467705688922</c:v>
                </c:pt>
                <c:pt idx="90">
                  <c:v>988.76093131817004</c:v>
                </c:pt>
                <c:pt idx="91">
                  <c:v>1019.7559573870495</c:v>
                </c:pt>
                <c:pt idx="92">
                  <c:v>1051.4065534866079</c:v>
                </c:pt>
                <c:pt idx="93">
                  <c:v>1083.7195135541413</c:v>
                </c:pt>
                <c:pt idx="94">
                  <c:v>1116.7016273668976</c:v>
                </c:pt>
                <c:pt idx="95">
                  <c:v>1150.359680659737</c:v>
                </c:pt>
                <c:pt idx="96">
                  <c:v>1184.7004552342571</c:v>
                </c:pt>
                <c:pt idx="97">
                  <c:v>1219.7307290610306</c:v>
                </c:pt>
                <c:pt idx="98">
                  <c:v>1255.4572763749482</c:v>
                </c:pt>
                <c:pt idx="99">
                  <c:v>1291.88686776452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94-4266-99DA-0099AE888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491752"/>
        <c:axId val="1174485632"/>
      </c:scatterChart>
      <c:valAx>
        <c:axId val="117449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85632"/>
        <c:crosses val="autoZero"/>
        <c:crossBetween val="midCat"/>
      </c:valAx>
      <c:valAx>
        <c:axId val="11744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Sink rate (ft/s)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91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'50000'!$AB$25</c:f>
              <c:strCache>
                <c:ptCount val="1"/>
                <c:pt idx="0">
                  <c:v>Glide Angle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'50000'!$AB$26:$AB$125</c:f>
              <c:numCache>
                <c:formatCode>General</c:formatCode>
                <c:ptCount val="100"/>
                <c:pt idx="0">
                  <c:v>1.4905257845701303</c:v>
                </c:pt>
                <c:pt idx="1">
                  <c:v>1.4370558319346787</c:v>
                </c:pt>
                <c:pt idx="2">
                  <c:v>1.3709631176412858</c:v>
                </c:pt>
                <c:pt idx="3">
                  <c:v>1.2936608996131382</c:v>
                </c:pt>
                <c:pt idx="4">
                  <c:v>1.2073632409325534</c:v>
                </c:pt>
                <c:pt idx="5">
                  <c:v>1.1150482753100879</c:v>
                </c:pt>
                <c:pt idx="6">
                  <c:v>1.020179979211937</c:v>
                </c:pt>
                <c:pt idx="7">
                  <c:v>0.92624084518010918</c:v>
                </c:pt>
                <c:pt idx="8">
                  <c:v>0.83623995550572361</c:v>
                </c:pt>
                <c:pt idx="9">
                  <c:v>0.7523763246956926</c:v>
                </c:pt>
                <c:pt idx="10">
                  <c:v>0.67594190383738995</c:v>
                </c:pt>
                <c:pt idx="11">
                  <c:v>0.6074271489115407</c:v>
                </c:pt>
                <c:pt idx="12">
                  <c:v>0.54672955304439264</c:v>
                </c:pt>
                <c:pt idx="13">
                  <c:v>0.49337363679640411</c:v>
                </c:pt>
                <c:pt idx="14">
                  <c:v>0.44669112135248762</c:v>
                </c:pt>
                <c:pt idx="15">
                  <c:v>0.40594671106879349</c:v>
                </c:pt>
                <c:pt idx="16">
                  <c:v>0.37041540627426922</c:v>
                </c:pt>
                <c:pt idx="17">
                  <c:v>0.33942413201876664</c:v>
                </c:pt>
                <c:pt idx="18">
                  <c:v>0.31237006521231853</c:v>
                </c:pt>
                <c:pt idx="19">
                  <c:v>0.28872511071125079</c:v>
                </c:pt>
                <c:pt idx="20">
                  <c:v>0.26803288935778924</c:v>
                </c:pt>
                <c:pt idx="21">
                  <c:v>0.24990217991136016</c:v>
                </c:pt>
                <c:pt idx="22">
                  <c:v>0.23399909718304623</c:v>
                </c:pt>
                <c:pt idx="23">
                  <c:v>0.22003923853287163</c:v>
                </c:pt>
                <c:pt idx="24">
                  <c:v>0.20778040317767069</c:v>
                </c:pt>
                <c:pt idx="25">
                  <c:v>0.19701613151314606</c:v>
                </c:pt>
                <c:pt idx="26">
                  <c:v>0.18757011883906738</c:v>
                </c:pt>
                <c:pt idx="27">
                  <c:v>0.17929146115117364</c:v>
                </c:pt>
                <c:pt idx="28">
                  <c:v>0.13776891966342569</c:v>
                </c:pt>
                <c:pt idx="29">
                  <c:v>0.12298253947315671</c:v>
                </c:pt>
                <c:pt idx="30">
                  <c:v>0.11105068271582355</c:v>
                </c:pt>
                <c:pt idx="31">
                  <c:v>0.10122211763336111</c:v>
                </c:pt>
                <c:pt idx="32">
                  <c:v>9.2987240525229373E-2</c:v>
                </c:pt>
                <c:pt idx="33">
                  <c:v>7.869362994085069E-2</c:v>
                </c:pt>
                <c:pt idx="34">
                  <c:v>7.6126915640584464E-2</c:v>
                </c:pt>
                <c:pt idx="35">
                  <c:v>7.7213434884453036E-2</c:v>
                </c:pt>
                <c:pt idx="36">
                  <c:v>7.9267369800615023E-2</c:v>
                </c:pt>
                <c:pt idx="37">
                  <c:v>8.1723971349357521E-2</c:v>
                </c:pt>
                <c:pt idx="38">
                  <c:v>8.4399555231564366E-2</c:v>
                </c:pt>
                <c:pt idx="39">
                  <c:v>8.722019671258377E-2</c:v>
                </c:pt>
                <c:pt idx="40">
                  <c:v>9.0152203911039772E-2</c:v>
                </c:pt>
                <c:pt idx="41">
                  <c:v>9.317897156690351E-2</c:v>
                </c:pt>
                <c:pt idx="42">
                  <c:v>0.10114604900772567</c:v>
                </c:pt>
                <c:pt idx="43">
                  <c:v>0.10442522404092175</c:v>
                </c:pt>
                <c:pt idx="44">
                  <c:v>0.10781366054696916</c:v>
                </c:pt>
                <c:pt idx="45">
                  <c:v>0.11129330605346072</c:v>
                </c:pt>
                <c:pt idx="46">
                  <c:v>0.11485806800031403</c:v>
                </c:pt>
                <c:pt idx="47">
                  <c:v>0.11850499753793566</c:v>
                </c:pt>
                <c:pt idx="48">
                  <c:v>0.12223239104067116</c:v>
                </c:pt>
                <c:pt idx="49">
                  <c:v>0.12603912983565629</c:v>
                </c:pt>
                <c:pt idx="50">
                  <c:v>0.12992439228932318</c:v>
                </c:pt>
                <c:pt idx="51">
                  <c:v>0.13388751103253729</c:v>
                </c:pt>
                <c:pt idx="52">
                  <c:v>0.13792789637109118</c:v>
                </c:pt>
                <c:pt idx="53">
                  <c:v>0.14204499312484883</c:v>
                </c:pt>
                <c:pt idx="54">
                  <c:v>0.14623825555958417</c:v>
                </c:pt>
                <c:pt idx="55">
                  <c:v>0.15050713258894802</c:v>
                </c:pt>
                <c:pt idx="56">
                  <c:v>0.1548510590002708</c:v>
                </c:pt>
                <c:pt idx="57">
                  <c:v>0.15926945029074802</c:v>
                </c:pt>
                <c:pt idx="58">
                  <c:v>0.16376169969488394</c:v>
                </c:pt>
                <c:pt idx="59">
                  <c:v>0.16832717654765231</c:v>
                </c:pt>
                <c:pt idx="60">
                  <c:v>0.17296522545838025</c:v>
                </c:pt>
                <c:pt idx="61">
                  <c:v>0.17767516596967659</c:v>
                </c:pt>
                <c:pt idx="62">
                  <c:v>0.18245629249835721</c:v>
                </c:pt>
                <c:pt idx="63">
                  <c:v>0.18730787443203453</c:v>
                </c:pt>
                <c:pt idx="64">
                  <c:v>0.19222915630365023</c:v>
                </c:pt>
                <c:pt idx="65">
                  <c:v>0.19721935799714754</c:v>
                </c:pt>
                <c:pt idx="66">
                  <c:v>0.20227767495739499</c:v>
                </c:pt>
                <c:pt idx="67">
                  <c:v>0.20740327839002529</c:v>
                </c:pt>
                <c:pt idx="68">
                  <c:v>0.21259531544510643</c:v>
                </c:pt>
                <c:pt idx="69">
                  <c:v>0.21785290938344656</c:v>
                </c:pt>
                <c:pt idx="70">
                  <c:v>0.22317515972745985</c:v>
                </c:pt>
                <c:pt idx="71">
                  <c:v>0.22856114240038714</c:v>
                </c:pt>
                <c:pt idx="72">
                  <c:v>0.23400990985850606</c:v>
                </c:pt>
                <c:pt idx="73">
                  <c:v>0.23952049122146152</c:v>
                </c:pt>
                <c:pt idx="74">
                  <c:v>0.24509189240594345</c:v>
                </c:pt>
                <c:pt idx="75">
                  <c:v>0.25072309626762923</c:v>
                </c:pt>
                <c:pt idx="76">
                  <c:v>0.25641306275625414</c:v>
                </c:pt>
                <c:pt idx="77">
                  <c:v>0.26216072908816485</c:v>
                </c:pt>
                <c:pt idx="78">
                  <c:v>0.26796500994038808</c:v>
                </c:pt>
                <c:pt idx="79">
                  <c:v>0.27382479766974555</c:v>
                </c:pt>
                <c:pt idx="80">
                  <c:v>0.27973896256038766</c:v>
                </c:pt>
                <c:pt idx="81">
                  <c:v>0.28570635310242659</c:v>
                </c:pt>
                <c:pt idx="82">
                  <c:v>0.29172579630414164</c:v>
                </c:pt>
                <c:pt idx="83">
                  <c:v>0.29779609803991736</c:v>
                </c:pt>
                <c:pt idx="84">
                  <c:v>0.30391604343552014</c:v>
                </c:pt>
                <c:pt idx="85">
                  <c:v>0.31008439729222725</c:v>
                </c:pt>
                <c:pt idx="86">
                  <c:v>0.3162999045509835</c:v>
                </c:pt>
                <c:pt idx="87">
                  <c:v>0.32256129079718865</c:v>
                </c:pt>
                <c:pt idx="88">
                  <c:v>0.32886726280686446</c:v>
                </c:pt>
                <c:pt idx="89">
                  <c:v>0.33521650913431433</c:v>
                </c:pt>
                <c:pt idx="90">
                  <c:v>0.34160770074148994</c:v>
                </c:pt>
                <c:pt idx="91">
                  <c:v>0.34803949166866138</c:v>
                </c:pt>
                <c:pt idx="92">
                  <c:v>0.35451051974597542</c:v>
                </c:pt>
                <c:pt idx="93">
                  <c:v>0.36101940734541799</c:v>
                </c:pt>
                <c:pt idx="94">
                  <c:v>0.36756476217201178</c:v>
                </c:pt>
                <c:pt idx="95">
                  <c:v>0.37414517809351439</c:v>
                </c:pt>
                <c:pt idx="96">
                  <c:v>0.3807592360069994</c:v>
                </c:pt>
                <c:pt idx="97">
                  <c:v>0.38740550474119251</c:v>
                </c:pt>
                <c:pt idx="98">
                  <c:v>0.3940825419927676</c:v>
                </c:pt>
                <c:pt idx="99">
                  <c:v>0.40078889529493478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14-43EE-9D23-C94B19D6F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421624"/>
        <c:axId val="1010419824"/>
      </c:scatterChart>
      <c:valAx>
        <c:axId val="101042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19824"/>
        <c:crosses val="autoZero"/>
        <c:crossBetween val="midCat"/>
      </c:valAx>
      <c:valAx>
        <c:axId val="10104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21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 vs. Mach at 57000 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'60000'!$W$25</c:f>
              <c:strCache>
                <c:ptCount val="1"/>
                <c:pt idx="0">
                  <c:v>Required Thrust, Klb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'60000'!$V$36:$V$109</c:f>
              <c:numCache>
                <c:formatCode>General</c:formatCode>
                <c:ptCount val="74"/>
                <c:pt idx="0">
                  <c:v>0.39292929292929302</c:v>
                </c:pt>
                <c:pt idx="1">
                  <c:v>0.422222222222222</c:v>
                </c:pt>
                <c:pt idx="2">
                  <c:v>0.45151515151515198</c:v>
                </c:pt>
                <c:pt idx="3">
                  <c:v>0.48080808080808102</c:v>
                </c:pt>
                <c:pt idx="4">
                  <c:v>0.51010101010101006</c:v>
                </c:pt>
                <c:pt idx="5">
                  <c:v>0.53939393939393898</c:v>
                </c:pt>
                <c:pt idx="6">
                  <c:v>0.56868686868686902</c:v>
                </c:pt>
                <c:pt idx="7">
                  <c:v>0.59797979797979794</c:v>
                </c:pt>
                <c:pt idx="8">
                  <c:v>0.62727272727272698</c:v>
                </c:pt>
                <c:pt idx="9">
                  <c:v>0.65656565656565702</c:v>
                </c:pt>
                <c:pt idx="10">
                  <c:v>0.68585858585858595</c:v>
                </c:pt>
                <c:pt idx="11">
                  <c:v>0.71515151515151498</c:v>
                </c:pt>
                <c:pt idx="12">
                  <c:v>0.74444444444444402</c:v>
                </c:pt>
                <c:pt idx="13">
                  <c:v>0.77373737373737395</c:v>
                </c:pt>
                <c:pt idx="14">
                  <c:v>0.80303030303030298</c:v>
                </c:pt>
                <c:pt idx="15">
                  <c:v>0.83232323232323202</c:v>
                </c:pt>
                <c:pt idx="16">
                  <c:v>0.86161616161616195</c:v>
                </c:pt>
                <c:pt idx="17">
                  <c:v>0.89090909090909098</c:v>
                </c:pt>
                <c:pt idx="18">
                  <c:v>0.92020202020202002</c:v>
                </c:pt>
                <c:pt idx="19">
                  <c:v>0.94949494949494895</c:v>
                </c:pt>
                <c:pt idx="20">
                  <c:v>0.97878787878787898</c:v>
                </c:pt>
                <c:pt idx="21">
                  <c:v>1.0080808080807999</c:v>
                </c:pt>
                <c:pt idx="22">
                  <c:v>1.03737373737373</c:v>
                </c:pt>
                <c:pt idx="23">
                  <c:v>1.06666666666666</c:v>
                </c:pt>
                <c:pt idx="24">
                  <c:v>1.09595959595959</c:v>
                </c:pt>
                <c:pt idx="25">
                  <c:v>1.1252525252525201</c:v>
                </c:pt>
                <c:pt idx="26">
                  <c:v>1.1545454545454501</c:v>
                </c:pt>
                <c:pt idx="27">
                  <c:v>1.1838383838383799</c:v>
                </c:pt>
                <c:pt idx="28">
                  <c:v>1.21313131313131</c:v>
                </c:pt>
                <c:pt idx="29">
                  <c:v>1.24242424242424</c:v>
                </c:pt>
                <c:pt idx="30">
                  <c:v>1.27171717171717</c:v>
                </c:pt>
                <c:pt idx="31">
                  <c:v>1.3010101010101001</c:v>
                </c:pt>
                <c:pt idx="32">
                  <c:v>1.3303030303030301</c:v>
                </c:pt>
                <c:pt idx="33">
                  <c:v>1.3595959595959599</c:v>
                </c:pt>
                <c:pt idx="34">
                  <c:v>1.38888888888888</c:v>
                </c:pt>
                <c:pt idx="35">
                  <c:v>1.41818181818181</c:v>
                </c:pt>
                <c:pt idx="36">
                  <c:v>1.44747474747474</c:v>
                </c:pt>
                <c:pt idx="37">
                  <c:v>1.4767676767676701</c:v>
                </c:pt>
                <c:pt idx="38">
                  <c:v>1.5060606060606001</c:v>
                </c:pt>
                <c:pt idx="39">
                  <c:v>1.5353535353535299</c:v>
                </c:pt>
                <c:pt idx="40">
                  <c:v>1.56464646464646</c:v>
                </c:pt>
                <c:pt idx="41">
                  <c:v>1.59393939393939</c:v>
                </c:pt>
                <c:pt idx="42">
                  <c:v>1.62323232323232</c:v>
                </c:pt>
                <c:pt idx="43">
                  <c:v>1.6525252525252501</c:v>
                </c:pt>
                <c:pt idx="44">
                  <c:v>1.6818181818181801</c:v>
                </c:pt>
                <c:pt idx="45">
                  <c:v>1.7111111111111099</c:v>
                </c:pt>
                <c:pt idx="46">
                  <c:v>1.74040404040404</c:v>
                </c:pt>
                <c:pt idx="47">
                  <c:v>1.76969696969697</c:v>
                </c:pt>
                <c:pt idx="48">
                  <c:v>1.79898989898989</c:v>
                </c:pt>
                <c:pt idx="49">
                  <c:v>1.8282828282828201</c:v>
                </c:pt>
                <c:pt idx="50">
                  <c:v>1.8575757575757501</c:v>
                </c:pt>
                <c:pt idx="51">
                  <c:v>1.8868686868686799</c:v>
                </c:pt>
                <c:pt idx="52">
                  <c:v>1.91616161616161</c:v>
                </c:pt>
                <c:pt idx="53">
                  <c:v>1.94545454545454</c:v>
                </c:pt>
                <c:pt idx="54">
                  <c:v>1.97474747474747</c:v>
                </c:pt>
                <c:pt idx="55">
                  <c:v>2.0040404040404001</c:v>
                </c:pt>
                <c:pt idx="56">
                  <c:v>2.0333333333333301</c:v>
                </c:pt>
                <c:pt idx="57">
                  <c:v>2.0626262626262601</c:v>
                </c:pt>
                <c:pt idx="58">
                  <c:v>2.0919191919191902</c:v>
                </c:pt>
                <c:pt idx="59">
                  <c:v>2.1212121212121202</c:v>
                </c:pt>
                <c:pt idx="60">
                  <c:v>2.1505050505050498</c:v>
                </c:pt>
                <c:pt idx="61">
                  <c:v>2.1797979797979798</c:v>
                </c:pt>
                <c:pt idx="62">
                  <c:v>2.2090909090909001</c:v>
                </c:pt>
                <c:pt idx="63">
                  <c:v>2.2383838383838301</c:v>
                </c:pt>
                <c:pt idx="64">
                  <c:v>2.2676767676767602</c:v>
                </c:pt>
                <c:pt idx="65">
                  <c:v>2.2969696969696898</c:v>
                </c:pt>
                <c:pt idx="66">
                  <c:v>2.3262626262626198</c:v>
                </c:pt>
                <c:pt idx="67">
                  <c:v>2.3555555555555499</c:v>
                </c:pt>
                <c:pt idx="68">
                  <c:v>2.3848484848484799</c:v>
                </c:pt>
                <c:pt idx="69">
                  <c:v>2.4141414141414099</c:v>
                </c:pt>
                <c:pt idx="70">
                  <c:v>2.44343434343434</c:v>
                </c:pt>
                <c:pt idx="71">
                  <c:v>2.47272727272727</c:v>
                </c:pt>
                <c:pt idx="72">
                  <c:v>2.5020202020202</c:v>
                </c:pt>
                <c:pt idx="73">
                  <c:v>2.5313131313131301</c:v>
                </c:pt>
              </c:numCache>
            </c:numRef>
          </c:xVal>
          <c:yVal>
            <c:numRef>
              <c:f>'60000'!$W$36:$W$109</c:f>
              <c:numCache>
                <c:formatCode>General</c:formatCode>
                <c:ptCount val="74"/>
                <c:pt idx="0">
                  <c:v>116.43146617578549</c:v>
                </c:pt>
                <c:pt idx="1">
                  <c:v>100.83223725517766</c:v>
                </c:pt>
                <c:pt idx="2">
                  <c:v>88.197722572144372</c:v>
                </c:pt>
                <c:pt idx="3">
                  <c:v>77.829792716749907</c:v>
                </c:pt>
                <c:pt idx="4">
                  <c:v>69.22482203715019</c:v>
                </c:pt>
                <c:pt idx="5">
                  <c:v>62.01210681420649</c:v>
                </c:pt>
                <c:pt idx="6">
                  <c:v>55.913885819451863</c:v>
                </c:pt>
                <c:pt idx="7">
                  <c:v>50.718717589022155</c:v>
                </c:pt>
                <c:pt idx="8">
                  <c:v>46.263347735651436</c:v>
                </c:pt>
                <c:pt idx="9">
                  <c:v>42.420107311135304</c:v>
                </c:pt>
                <c:pt idx="10">
                  <c:v>39.087994828883375</c:v>
                </c:pt>
                <c:pt idx="11">
                  <c:v>36.18626081251233</c:v>
                </c:pt>
                <c:pt idx="12">
                  <c:v>33.649723328518171</c:v>
                </c:pt>
                <c:pt idx="13">
                  <c:v>31.42530060585786</c:v>
                </c:pt>
                <c:pt idx="14">
                  <c:v>29.469412323634931</c:v>
                </c:pt>
                <c:pt idx="15">
                  <c:v>27.746009471447302</c:v>
                </c:pt>
                <c:pt idx="16">
                  <c:v>26.225064843431831</c:v>
                </c:pt>
                <c:pt idx="17">
                  <c:v>24.881405069257251</c:v>
                </c:pt>
                <c:pt idx="18">
                  <c:v>22.2871666666666</c:v>
                </c:pt>
                <c:pt idx="19">
                  <c:v>19.6933333333333</c:v>
                </c:pt>
                <c:pt idx="20">
                  <c:v>17.0994999999999</c:v>
                </c:pt>
                <c:pt idx="21">
                  <c:v>14.505666666666601</c:v>
                </c:pt>
                <c:pt idx="22">
                  <c:v>11.9118333333333</c:v>
                </c:pt>
                <c:pt idx="23">
                  <c:v>9.3183371973007532</c:v>
                </c:pt>
                <c:pt idx="24">
                  <c:v>8.822397686665914</c:v>
                </c:pt>
                <c:pt idx="25">
                  <c:v>8.8580516077408049</c:v>
                </c:pt>
                <c:pt idx="26">
                  <c:v>9.0321462253447713</c:v>
                </c:pt>
                <c:pt idx="27">
                  <c:v>9.2620767780844737</c:v>
                </c:pt>
                <c:pt idx="28">
                  <c:v>9.5209940569189495</c:v>
                </c:pt>
                <c:pt idx="29">
                  <c:v>9.7981058899338151</c:v>
                </c:pt>
                <c:pt idx="30">
                  <c:v>10.088506613988901</c:v>
                </c:pt>
                <c:pt idx="31">
                  <c:v>10.389791641615695</c:v>
                </c:pt>
                <c:pt idx="32">
                  <c:v>11.334009345369854</c:v>
                </c:pt>
                <c:pt idx="33">
                  <c:v>11.665423071083481</c:v>
                </c:pt>
                <c:pt idx="34">
                  <c:v>12.009495961528076</c:v>
                </c:pt>
                <c:pt idx="35">
                  <c:v>12.363888686678729</c:v>
                </c:pt>
                <c:pt idx="36">
                  <c:v>12.727833269223362</c:v>
                </c:pt>
                <c:pt idx="37">
                  <c:v>13.10097905813269</c:v>
                </c:pt>
                <c:pt idx="38">
                  <c:v>13.483142758984863</c:v>
                </c:pt>
                <c:pt idx="39">
                  <c:v>13.874220988062572</c:v>
                </c:pt>
                <c:pt idx="40">
                  <c:v>14.274151985184119</c:v>
                </c:pt>
                <c:pt idx="41">
                  <c:v>14.682896602850773</c:v>
                </c:pt>
                <c:pt idx="42">
                  <c:v>15.100428131627229</c:v>
                </c:pt>
                <c:pt idx="43">
                  <c:v>15.526726605823949</c:v>
                </c:pt>
                <c:pt idx="44">
                  <c:v>15.961775539512645</c:v>
                </c:pt>
                <c:pt idx="45">
                  <c:v>16.405560042593109</c:v>
                </c:pt>
                <c:pt idx="46">
                  <c:v>16.858065744843149</c:v>
                </c:pt>
                <c:pt idx="47">
                  <c:v>17.319278202027434</c:v>
                </c:pt>
                <c:pt idx="48">
                  <c:v>17.789182592118109</c:v>
                </c:pt>
                <c:pt idx="49">
                  <c:v>18.267763585886168</c:v>
                </c:pt>
                <c:pt idx="50">
                  <c:v>18.755005320859603</c:v>
                </c:pt>
                <c:pt idx="51">
                  <c:v>19.25089143467746</c:v>
                </c:pt>
                <c:pt idx="52">
                  <c:v>19.755405130469963</c:v>
                </c:pt>
                <c:pt idx="53">
                  <c:v>20.268529257315901</c:v>
                </c:pt>
                <c:pt idx="54">
                  <c:v>20.790246395376613</c:v>
                </c:pt>
                <c:pt idx="55">
                  <c:v>21.320538939489367</c:v>
                </c:pt>
                <c:pt idx="56">
                  <c:v>21.859389177658883</c:v>
                </c:pt>
                <c:pt idx="57">
                  <c:v>22.406779362592431</c:v>
                </c:pt>
                <c:pt idx="58">
                  <c:v>22.962691775462979</c:v>
                </c:pt>
                <c:pt idx="59">
                  <c:v>23.527108781771979</c:v>
                </c:pt>
                <c:pt idx="60">
                  <c:v>24.100012879579005</c:v>
                </c:pt>
                <c:pt idx="61">
                  <c:v>24.68138674055006</c:v>
                </c:pt>
                <c:pt idx="62">
                  <c:v>25.271213244453243</c:v>
                </c:pt>
                <c:pt idx="63">
                  <c:v>25.869475507721937</c:v>
                </c:pt>
                <c:pt idx="64">
                  <c:v>26.476156906746716</c:v>
                </c:pt>
                <c:pt idx="65">
                  <c:v>27.091241096485</c:v>
                </c:pt>
                <c:pt idx="66">
                  <c:v>27.714712025004623</c:v>
                </c:pt>
                <c:pt idx="67">
                  <c:v>28.34655394444993</c:v>
                </c:pt>
                <c:pt idx="68">
                  <c:v>28.986751418939264</c:v>
                </c:pt>
                <c:pt idx="69">
                  <c:v>29.635289329815897</c:v>
                </c:pt>
                <c:pt idx="70">
                  <c:v>30.29215287862365</c:v>
                </c:pt>
                <c:pt idx="71">
                  <c:v>30.957327588164699</c:v>
                </c:pt>
                <c:pt idx="72">
                  <c:v>31.630799301909864</c:v>
                </c:pt>
                <c:pt idx="73">
                  <c:v>32.312554182062939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0D-404C-9D8C-D5332C7B417B}"/>
            </c:ext>
          </c:extLst>
        </c:ser>
        <c:ser>
          <c:idx val="1"/>
          <c:order val="1"/>
          <c:tx>
            <c:strRef>
              <c:f>'60000'!$X$25</c:f>
              <c:strCache>
                <c:ptCount val="1"/>
                <c:pt idx="0">
                  <c:v>Available Dry Thrust, Klb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'60000'!$V$36:$V$109</c:f>
              <c:numCache>
                <c:formatCode>General</c:formatCode>
                <c:ptCount val="74"/>
                <c:pt idx="0">
                  <c:v>0.39292929292929302</c:v>
                </c:pt>
                <c:pt idx="1">
                  <c:v>0.422222222222222</c:v>
                </c:pt>
                <c:pt idx="2">
                  <c:v>0.45151515151515198</c:v>
                </c:pt>
                <c:pt idx="3">
                  <c:v>0.48080808080808102</c:v>
                </c:pt>
                <c:pt idx="4">
                  <c:v>0.51010101010101006</c:v>
                </c:pt>
                <c:pt idx="5">
                  <c:v>0.53939393939393898</c:v>
                </c:pt>
                <c:pt idx="6">
                  <c:v>0.56868686868686902</c:v>
                </c:pt>
                <c:pt idx="7">
                  <c:v>0.59797979797979794</c:v>
                </c:pt>
                <c:pt idx="8">
                  <c:v>0.62727272727272698</c:v>
                </c:pt>
                <c:pt idx="9">
                  <c:v>0.65656565656565702</c:v>
                </c:pt>
                <c:pt idx="10">
                  <c:v>0.68585858585858595</c:v>
                </c:pt>
                <c:pt idx="11">
                  <c:v>0.71515151515151498</c:v>
                </c:pt>
                <c:pt idx="12">
                  <c:v>0.74444444444444402</c:v>
                </c:pt>
                <c:pt idx="13">
                  <c:v>0.77373737373737395</c:v>
                </c:pt>
                <c:pt idx="14">
                  <c:v>0.80303030303030298</c:v>
                </c:pt>
                <c:pt idx="15">
                  <c:v>0.83232323232323202</c:v>
                </c:pt>
                <c:pt idx="16">
                  <c:v>0.86161616161616195</c:v>
                </c:pt>
                <c:pt idx="17">
                  <c:v>0.89090909090909098</c:v>
                </c:pt>
                <c:pt idx="18">
                  <c:v>0.92020202020202002</c:v>
                </c:pt>
                <c:pt idx="19">
                  <c:v>0.94949494949494895</c:v>
                </c:pt>
                <c:pt idx="20">
                  <c:v>0.97878787878787898</c:v>
                </c:pt>
                <c:pt idx="21">
                  <c:v>1.0080808080807999</c:v>
                </c:pt>
                <c:pt idx="22">
                  <c:v>1.03737373737373</c:v>
                </c:pt>
                <c:pt idx="23">
                  <c:v>1.06666666666666</c:v>
                </c:pt>
                <c:pt idx="24">
                  <c:v>1.09595959595959</c:v>
                </c:pt>
                <c:pt idx="25">
                  <c:v>1.1252525252525201</c:v>
                </c:pt>
                <c:pt idx="26">
                  <c:v>1.1545454545454501</c:v>
                </c:pt>
                <c:pt idx="27">
                  <c:v>1.1838383838383799</c:v>
                </c:pt>
                <c:pt idx="28">
                  <c:v>1.21313131313131</c:v>
                </c:pt>
                <c:pt idx="29">
                  <c:v>1.24242424242424</c:v>
                </c:pt>
                <c:pt idx="30">
                  <c:v>1.27171717171717</c:v>
                </c:pt>
                <c:pt idx="31">
                  <c:v>1.3010101010101001</c:v>
                </c:pt>
                <c:pt idx="32">
                  <c:v>1.3303030303030301</c:v>
                </c:pt>
                <c:pt idx="33">
                  <c:v>1.3595959595959599</c:v>
                </c:pt>
                <c:pt idx="34">
                  <c:v>1.38888888888888</c:v>
                </c:pt>
                <c:pt idx="35">
                  <c:v>1.41818181818181</c:v>
                </c:pt>
                <c:pt idx="36">
                  <c:v>1.44747474747474</c:v>
                </c:pt>
                <c:pt idx="37">
                  <c:v>1.4767676767676701</c:v>
                </c:pt>
                <c:pt idx="38">
                  <c:v>1.5060606060606001</c:v>
                </c:pt>
                <c:pt idx="39">
                  <c:v>1.5353535353535299</c:v>
                </c:pt>
                <c:pt idx="40">
                  <c:v>1.56464646464646</c:v>
                </c:pt>
                <c:pt idx="41">
                  <c:v>1.59393939393939</c:v>
                </c:pt>
                <c:pt idx="42">
                  <c:v>1.62323232323232</c:v>
                </c:pt>
                <c:pt idx="43">
                  <c:v>1.6525252525252501</c:v>
                </c:pt>
                <c:pt idx="44">
                  <c:v>1.6818181818181801</c:v>
                </c:pt>
                <c:pt idx="45">
                  <c:v>1.7111111111111099</c:v>
                </c:pt>
                <c:pt idx="46">
                  <c:v>1.74040404040404</c:v>
                </c:pt>
                <c:pt idx="47">
                  <c:v>1.76969696969697</c:v>
                </c:pt>
                <c:pt idx="48">
                  <c:v>1.79898989898989</c:v>
                </c:pt>
                <c:pt idx="49">
                  <c:v>1.8282828282828201</c:v>
                </c:pt>
                <c:pt idx="50">
                  <c:v>1.8575757575757501</c:v>
                </c:pt>
                <c:pt idx="51">
                  <c:v>1.8868686868686799</c:v>
                </c:pt>
                <c:pt idx="52">
                  <c:v>1.91616161616161</c:v>
                </c:pt>
                <c:pt idx="53">
                  <c:v>1.94545454545454</c:v>
                </c:pt>
                <c:pt idx="54">
                  <c:v>1.97474747474747</c:v>
                </c:pt>
                <c:pt idx="55">
                  <c:v>2.0040404040404001</c:v>
                </c:pt>
                <c:pt idx="56">
                  <c:v>2.0333333333333301</c:v>
                </c:pt>
                <c:pt idx="57">
                  <c:v>2.0626262626262601</c:v>
                </c:pt>
                <c:pt idx="58">
                  <c:v>2.0919191919191902</c:v>
                </c:pt>
                <c:pt idx="59">
                  <c:v>2.1212121212121202</c:v>
                </c:pt>
                <c:pt idx="60">
                  <c:v>2.1505050505050498</c:v>
                </c:pt>
                <c:pt idx="61">
                  <c:v>2.1797979797979798</c:v>
                </c:pt>
                <c:pt idx="62">
                  <c:v>2.2090909090909001</c:v>
                </c:pt>
                <c:pt idx="63">
                  <c:v>2.2383838383838301</c:v>
                </c:pt>
                <c:pt idx="64">
                  <c:v>2.2676767676767602</c:v>
                </c:pt>
                <c:pt idx="65">
                  <c:v>2.2969696969696898</c:v>
                </c:pt>
                <c:pt idx="66">
                  <c:v>2.3262626262626198</c:v>
                </c:pt>
                <c:pt idx="67">
                  <c:v>2.3555555555555499</c:v>
                </c:pt>
                <c:pt idx="68">
                  <c:v>2.3848484848484799</c:v>
                </c:pt>
                <c:pt idx="69">
                  <c:v>2.4141414141414099</c:v>
                </c:pt>
                <c:pt idx="70">
                  <c:v>2.44343434343434</c:v>
                </c:pt>
                <c:pt idx="71">
                  <c:v>2.47272727272727</c:v>
                </c:pt>
                <c:pt idx="72">
                  <c:v>2.5020202020202</c:v>
                </c:pt>
                <c:pt idx="73">
                  <c:v>2.5313131313131301</c:v>
                </c:pt>
              </c:numCache>
            </c:numRef>
          </c:xVal>
          <c:yVal>
            <c:numRef>
              <c:f>'60000'!$X$36:$X$109</c:f>
              <c:numCache>
                <c:formatCode>General</c:formatCode>
                <c:ptCount val="74"/>
                <c:pt idx="0">
                  <c:v>17.621348435034996</c:v>
                </c:pt>
                <c:pt idx="1">
                  <c:v>17.662622296540611</c:v>
                </c:pt>
                <c:pt idx="2">
                  <c:v>17.711419236045536</c:v>
                </c:pt>
                <c:pt idx="3">
                  <c:v>17.767311473711924</c:v>
                </c:pt>
                <c:pt idx="4">
                  <c:v>17.829848796844427</c:v>
                </c:pt>
                <c:pt idx="5">
                  <c:v>17.898555632730247</c:v>
                </c:pt>
                <c:pt idx="6">
                  <c:v>17.972927973650393</c:v>
                </c:pt>
                <c:pt idx="7">
                  <c:v>18.052430145527961</c:v>
                </c:pt>
                <c:pt idx="8">
                  <c:v>18.136491411463286</c:v>
                </c:pt>
                <c:pt idx="9">
                  <c:v>18.224502401187227</c:v>
                </c:pt>
                <c:pt idx="10">
                  <c:v>18.315811357242524</c:v>
                </c:pt>
                <c:pt idx="11">
                  <c:v>18.409720188478563</c:v>
                </c:pt>
                <c:pt idx="12">
                  <c:v>18.505480321218513</c:v>
                </c:pt>
                <c:pt idx="13">
                  <c:v>18.602288338228615</c:v>
                </c:pt>
                <c:pt idx="14">
                  <c:v>18.699281395388425</c:v>
                </c:pt>
                <c:pt idx="15">
                  <c:v>18.79553240572794</c:v>
                </c:pt>
                <c:pt idx="16">
                  <c:v>18.890044980262608</c:v>
                </c:pt>
                <c:pt idx="17">
                  <c:v>18.981748114820949</c:v>
                </c:pt>
                <c:pt idx="18">
                  <c:v>19.069490611821564</c:v>
                </c:pt>
                <c:pt idx="19">
                  <c:v>19.152035225717093</c:v>
                </c:pt>
                <c:pt idx="20">
                  <c:v>19.228052520581947</c:v>
                </c:pt>
                <c:pt idx="21">
                  <c:v>19.29611442807909</c:v>
                </c:pt>
                <c:pt idx="22">
                  <c:v>19.354687493798057</c:v>
                </c:pt>
                <c:pt idx="23">
                  <c:v>19.402125799712273</c:v>
                </c:pt>
                <c:pt idx="24">
                  <c:v>19.436663550259542</c:v>
                </c:pt>
                <c:pt idx="25">
                  <c:v>19.456407309302712</c:v>
                </c:pt>
                <c:pt idx="26">
                  <c:v>19.45932787498171</c:v>
                </c:pt>
                <c:pt idx="27">
                  <c:v>19.443251779220152</c:v>
                </c:pt>
                <c:pt idx="28">
                  <c:v>19.405852398401493</c:v>
                </c:pt>
                <c:pt idx="29">
                  <c:v>19.344640661480831</c:v>
                </c:pt>
                <c:pt idx="30">
                  <c:v>19.256955341548554</c:v>
                </c:pt>
                <c:pt idx="31">
                  <c:v>19.139952916611751</c:v>
                </c:pt>
                <c:pt idx="32">
                  <c:v>18.990596985107977</c:v>
                </c:pt>
                <c:pt idx="33">
                  <c:v>18.805647221414716</c:v>
                </c:pt>
                <c:pt idx="34">
                  <c:v>18.581647856365134</c:v>
                </c:pt>
                <c:pt idx="35">
                  <c:v>18.31491566752771</c:v>
                </c:pt>
                <c:pt idx="36">
                  <c:v>18.001527463755167</c:v>
                </c:pt>
                <c:pt idx="37">
                  <c:v>17.637307048251611</c:v>
                </c:pt>
                <c:pt idx="38">
                  <c:v>17.217811644154807</c:v>
                </c:pt>
                <c:pt idx="39">
                  <c:v>16.738317766373726</c:v>
                </c:pt>
                <c:pt idx="40">
                  <c:v>16.193806523166668</c:v>
                </c:pt>
                <c:pt idx="41">
                  <c:v>15.578948330688769</c:v>
                </c:pt>
                <c:pt idx="42">
                  <c:v>14.888087023481207</c:v>
                </c:pt>
                <c:pt idx="43">
                  <c:v>14.115223343617448</c:v>
                </c:pt>
                <c:pt idx="44">
                  <c:v>13.253997790963986</c:v>
                </c:pt>
                <c:pt idx="45">
                  <c:v>12.297672816755473</c:v>
                </c:pt>
                <c:pt idx="46">
                  <c:v>11.239114342424935</c:v>
                </c:pt>
                <c:pt idx="47">
                  <c:v>10.070772585371854</c:v>
                </c:pt>
                <c:pt idx="48">
                  <c:v>8.7846621730910428</c:v>
                </c:pt>
                <c:pt idx="49">
                  <c:v>7.3723415268227761</c:v>
                </c:pt>
                <c:pt idx="50">
                  <c:v>5.8248914956341045</c:v>
                </c:pt>
                <c:pt idx="51">
                  <c:v>4.1328932215646033</c:v>
                </c:pt>
                <c:pt idx="52">
                  <c:v>2.2864052162248654</c:v>
                </c:pt>
                <c:pt idx="53">
                  <c:v>0.27493962896524871</c:v>
                </c:pt>
                <c:pt idx="54">
                  <c:v>-1.9125623135263674</c:v>
                </c:pt>
                <c:pt idx="55">
                  <c:v>-4.2877557166010591</c:v>
                </c:pt>
                <c:pt idx="56">
                  <c:v>-6.8629182966655327</c:v>
                </c:pt>
                <c:pt idx="57">
                  <c:v>-9.6509775507674807</c:v>
                </c:pt>
                <c:pt idx="58">
                  <c:v>-12.665538837941201</c:v>
                </c:pt>
                <c:pt idx="59">
                  <c:v>-15.920914393768371</c:v>
                </c:pt>
                <c:pt idx="60">
                  <c:v>-19.432153299872049</c:v>
                </c:pt>
                <c:pt idx="61">
                  <c:v>-23.215072430327027</c:v>
                </c:pt>
                <c:pt idx="62">
                  <c:v>-27.28628839723028</c:v>
                </c:pt>
                <c:pt idx="63">
                  <c:v>-31.663250517952129</c:v>
                </c:pt>
                <c:pt idx="64">
                  <c:v>-36.364274826822559</c:v>
                </c:pt>
                <c:pt idx="65">
                  <c:v>-41.408579154319462</c:v>
                </c:pt>
                <c:pt idx="66">
                  <c:v>-46.816319297046441</c:v>
                </c:pt>
                <c:pt idx="67">
                  <c:v>-52.608626302076203</c:v>
                </c:pt>
                <c:pt idx="68">
                  <c:v>-58.807644889498768</c:v>
                </c:pt>
                <c:pt idx="69">
                  <c:v>-65.43657303727251</c:v>
                </c:pt>
                <c:pt idx="70">
                  <c:v>-72.519702752750774</c:v>
                </c:pt>
                <c:pt idx="71">
                  <c:v>-80.082462055515208</c:v>
                </c:pt>
                <c:pt idx="72">
                  <c:v>-88.151458196420023</c:v>
                </c:pt>
                <c:pt idx="73">
                  <c:v>-96.754522138012078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0D-404C-9D8C-D5332C7B417B}"/>
            </c:ext>
          </c:extLst>
        </c:ser>
        <c:ser>
          <c:idx val="2"/>
          <c:order val="2"/>
          <c:tx>
            <c:strRef>
              <c:f>'60000'!$Y$25</c:f>
              <c:strCache>
                <c:ptCount val="1"/>
                <c:pt idx="0">
                  <c:v>Available AB Thrust, Klb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'60000'!$V$36:$V$109</c:f>
              <c:numCache>
                <c:formatCode>General</c:formatCode>
                <c:ptCount val="74"/>
                <c:pt idx="0">
                  <c:v>0.39292929292929302</c:v>
                </c:pt>
                <c:pt idx="1">
                  <c:v>0.422222222222222</c:v>
                </c:pt>
                <c:pt idx="2">
                  <c:v>0.45151515151515198</c:v>
                </c:pt>
                <c:pt idx="3">
                  <c:v>0.48080808080808102</c:v>
                </c:pt>
                <c:pt idx="4">
                  <c:v>0.51010101010101006</c:v>
                </c:pt>
                <c:pt idx="5">
                  <c:v>0.53939393939393898</c:v>
                </c:pt>
                <c:pt idx="6">
                  <c:v>0.56868686868686902</c:v>
                </c:pt>
                <c:pt idx="7">
                  <c:v>0.59797979797979794</c:v>
                </c:pt>
                <c:pt idx="8">
                  <c:v>0.62727272727272698</c:v>
                </c:pt>
                <c:pt idx="9">
                  <c:v>0.65656565656565702</c:v>
                </c:pt>
                <c:pt idx="10">
                  <c:v>0.68585858585858595</c:v>
                </c:pt>
                <c:pt idx="11">
                  <c:v>0.71515151515151498</c:v>
                </c:pt>
                <c:pt idx="12">
                  <c:v>0.74444444444444402</c:v>
                </c:pt>
                <c:pt idx="13">
                  <c:v>0.77373737373737395</c:v>
                </c:pt>
                <c:pt idx="14">
                  <c:v>0.80303030303030298</c:v>
                </c:pt>
                <c:pt idx="15">
                  <c:v>0.83232323232323202</c:v>
                </c:pt>
                <c:pt idx="16">
                  <c:v>0.86161616161616195</c:v>
                </c:pt>
                <c:pt idx="17">
                  <c:v>0.89090909090909098</c:v>
                </c:pt>
                <c:pt idx="18">
                  <c:v>0.92020202020202002</c:v>
                </c:pt>
                <c:pt idx="19">
                  <c:v>0.94949494949494895</c:v>
                </c:pt>
                <c:pt idx="20">
                  <c:v>0.97878787878787898</c:v>
                </c:pt>
                <c:pt idx="21">
                  <c:v>1.0080808080807999</c:v>
                </c:pt>
                <c:pt idx="22">
                  <c:v>1.03737373737373</c:v>
                </c:pt>
                <c:pt idx="23">
                  <c:v>1.06666666666666</c:v>
                </c:pt>
                <c:pt idx="24">
                  <c:v>1.09595959595959</c:v>
                </c:pt>
                <c:pt idx="25">
                  <c:v>1.1252525252525201</c:v>
                </c:pt>
                <c:pt idx="26">
                  <c:v>1.1545454545454501</c:v>
                </c:pt>
                <c:pt idx="27">
                  <c:v>1.1838383838383799</c:v>
                </c:pt>
                <c:pt idx="28">
                  <c:v>1.21313131313131</c:v>
                </c:pt>
                <c:pt idx="29">
                  <c:v>1.24242424242424</c:v>
                </c:pt>
                <c:pt idx="30">
                  <c:v>1.27171717171717</c:v>
                </c:pt>
                <c:pt idx="31">
                  <c:v>1.3010101010101001</c:v>
                </c:pt>
                <c:pt idx="32">
                  <c:v>1.3303030303030301</c:v>
                </c:pt>
                <c:pt idx="33">
                  <c:v>1.3595959595959599</c:v>
                </c:pt>
                <c:pt idx="34">
                  <c:v>1.38888888888888</c:v>
                </c:pt>
                <c:pt idx="35">
                  <c:v>1.41818181818181</c:v>
                </c:pt>
                <c:pt idx="36">
                  <c:v>1.44747474747474</c:v>
                </c:pt>
                <c:pt idx="37">
                  <c:v>1.4767676767676701</c:v>
                </c:pt>
                <c:pt idx="38">
                  <c:v>1.5060606060606001</c:v>
                </c:pt>
                <c:pt idx="39">
                  <c:v>1.5353535353535299</c:v>
                </c:pt>
                <c:pt idx="40">
                  <c:v>1.56464646464646</c:v>
                </c:pt>
                <c:pt idx="41">
                  <c:v>1.59393939393939</c:v>
                </c:pt>
                <c:pt idx="42">
                  <c:v>1.62323232323232</c:v>
                </c:pt>
                <c:pt idx="43">
                  <c:v>1.6525252525252501</c:v>
                </c:pt>
                <c:pt idx="44">
                  <c:v>1.6818181818181801</c:v>
                </c:pt>
                <c:pt idx="45">
                  <c:v>1.7111111111111099</c:v>
                </c:pt>
                <c:pt idx="46">
                  <c:v>1.74040404040404</c:v>
                </c:pt>
                <c:pt idx="47">
                  <c:v>1.76969696969697</c:v>
                </c:pt>
                <c:pt idx="48">
                  <c:v>1.79898989898989</c:v>
                </c:pt>
                <c:pt idx="49">
                  <c:v>1.8282828282828201</c:v>
                </c:pt>
                <c:pt idx="50">
                  <c:v>1.8575757575757501</c:v>
                </c:pt>
                <c:pt idx="51">
                  <c:v>1.8868686868686799</c:v>
                </c:pt>
                <c:pt idx="52">
                  <c:v>1.91616161616161</c:v>
                </c:pt>
                <c:pt idx="53">
                  <c:v>1.94545454545454</c:v>
                </c:pt>
                <c:pt idx="54">
                  <c:v>1.97474747474747</c:v>
                </c:pt>
                <c:pt idx="55">
                  <c:v>2.0040404040404001</c:v>
                </c:pt>
                <c:pt idx="56">
                  <c:v>2.0333333333333301</c:v>
                </c:pt>
                <c:pt idx="57">
                  <c:v>2.0626262626262601</c:v>
                </c:pt>
                <c:pt idx="58">
                  <c:v>2.0919191919191902</c:v>
                </c:pt>
                <c:pt idx="59">
                  <c:v>2.1212121212121202</c:v>
                </c:pt>
                <c:pt idx="60">
                  <c:v>2.1505050505050498</c:v>
                </c:pt>
                <c:pt idx="61">
                  <c:v>2.1797979797979798</c:v>
                </c:pt>
                <c:pt idx="62">
                  <c:v>2.2090909090909001</c:v>
                </c:pt>
                <c:pt idx="63">
                  <c:v>2.2383838383838301</c:v>
                </c:pt>
                <c:pt idx="64">
                  <c:v>2.2676767676767602</c:v>
                </c:pt>
                <c:pt idx="65">
                  <c:v>2.2969696969696898</c:v>
                </c:pt>
                <c:pt idx="66">
                  <c:v>2.3262626262626198</c:v>
                </c:pt>
                <c:pt idx="67">
                  <c:v>2.3555555555555499</c:v>
                </c:pt>
                <c:pt idx="68">
                  <c:v>2.3848484848484799</c:v>
                </c:pt>
                <c:pt idx="69">
                  <c:v>2.4141414141414099</c:v>
                </c:pt>
                <c:pt idx="70">
                  <c:v>2.44343434343434</c:v>
                </c:pt>
                <c:pt idx="71">
                  <c:v>2.47272727272727</c:v>
                </c:pt>
                <c:pt idx="72">
                  <c:v>2.5020202020202</c:v>
                </c:pt>
                <c:pt idx="73">
                  <c:v>2.5313131313131301</c:v>
                </c:pt>
              </c:numCache>
            </c:numRef>
          </c:xVal>
          <c:yVal>
            <c:numRef>
              <c:f>'60000'!$Y$36:$Y$109</c:f>
              <c:numCache>
                <c:formatCode>General</c:formatCode>
                <c:ptCount val="74"/>
                <c:pt idx="0">
                  <c:v>23.972639544573305</c:v>
                </c:pt>
                <c:pt idx="1">
                  <c:v>24.125747169432788</c:v>
                </c:pt>
                <c:pt idx="2">
                  <c:v>24.292239389455379</c:v>
                </c:pt>
                <c:pt idx="3">
                  <c:v>24.471856939160286</c:v>
                </c:pt>
                <c:pt idx="4">
                  <c:v>24.664341453643818</c:v>
                </c:pt>
                <c:pt idx="5">
                  <c:v>24.869430249622905</c:v>
                </c:pt>
                <c:pt idx="6">
                  <c:v>25.086851745175014</c:v>
                </c:pt>
                <c:pt idx="7">
                  <c:v>25.316321300482461</c:v>
                </c:pt>
                <c:pt idx="8">
                  <c:v>25.557537328507625</c:v>
                </c:pt>
                <c:pt idx="9">
                  <c:v>25.81017756807579</c:v>
                </c:pt>
                <c:pt idx="10">
                  <c:v>26.073895440976042</c:v>
                </c:pt>
                <c:pt idx="11">
                  <c:v>26.34831643458374</c:v>
                </c:pt>
                <c:pt idx="12">
                  <c:v>26.63303446534271</c:v>
                </c:pt>
                <c:pt idx="13">
                  <c:v>26.927608188224578</c:v>
                </c:pt>
                <c:pt idx="14">
                  <c:v>27.231557224298101</c:v>
                </c:pt>
                <c:pt idx="15">
                  <c:v>27.544358283640445</c:v>
                </c:pt>
                <c:pt idx="16">
                  <c:v>27.865441164571838</c:v>
                </c:pt>
                <c:pt idx="17">
                  <c:v>28.194184612982088</c:v>
                </c:pt>
                <c:pt idx="18">
                  <c:v>28.529912027608201</c:v>
                </c:pt>
                <c:pt idx="19">
                  <c:v>28.871886998703527</c:v>
                </c:pt>
                <c:pt idx="20">
                  <c:v>29.21930866874315</c:v>
                </c:pt>
                <c:pt idx="21">
                  <c:v>29.571306904734644</c:v>
                </c:pt>
                <c:pt idx="22">
                  <c:v>29.926937272414705</c:v>
                </c:pt>
                <c:pt idx="23">
                  <c:v>30.285175803161454</c:v>
                </c:pt>
                <c:pt idx="24">
                  <c:v>30.644913544883497</c:v>
                </c:pt>
                <c:pt idx="25">
                  <c:v>31.004950888475584</c:v>
                </c:pt>
                <c:pt idx="26">
                  <c:v>31.363991661692854</c:v>
                </c:pt>
                <c:pt idx="27">
                  <c:v>31.72063698249654</c:v>
                </c:pt>
                <c:pt idx="28">
                  <c:v>32.073378864081214</c:v>
                </c:pt>
                <c:pt idx="29">
                  <c:v>32.420593563915602</c:v>
                </c:pt>
                <c:pt idx="30">
                  <c:v>32.760534669223183</c:v>
                </c:pt>
                <c:pt idx="31">
                  <c:v>33.091325911400034</c:v>
                </c:pt>
                <c:pt idx="32">
                  <c:v>33.410953701922253</c:v>
                </c:pt>
                <c:pt idx="33">
                  <c:v>33.717259382335577</c:v>
                </c:pt>
                <c:pt idx="34">
                  <c:v>34.007931180948482</c:v>
                </c:pt>
                <c:pt idx="35">
                  <c:v>34.280495868871931</c:v>
                </c:pt>
                <c:pt idx="36">
                  <c:v>34.532310108059164</c:v>
                </c:pt>
                <c:pt idx="37">
                  <c:v>34.760551484010804</c:v>
                </c:pt>
                <c:pt idx="38">
                  <c:v>34.962209215809636</c:v>
                </c:pt>
                <c:pt idx="39">
                  <c:v>35.134074536151161</c:v>
                </c:pt>
                <c:pt idx="40">
                  <c:v>35.272730734031974</c:v>
                </c:pt>
                <c:pt idx="41">
                  <c:v>35.374542852752434</c:v>
                </c:pt>
                <c:pt idx="42">
                  <c:v>35.435647035882369</c:v>
                </c:pt>
                <c:pt idx="43">
                  <c:v>35.451939513830368</c:v>
                </c:pt>
                <c:pt idx="44">
                  <c:v>35.419065223646257</c:v>
                </c:pt>
                <c:pt idx="45">
                  <c:v>35.332406054676895</c:v>
                </c:pt>
                <c:pt idx="46">
                  <c:v>35.187068712682056</c:v>
                </c:pt>
                <c:pt idx="47">
                  <c:v>34.977872195007322</c:v>
                </c:pt>
                <c:pt idx="48">
                  <c:v>34.699334869397354</c:v>
                </c:pt>
                <c:pt idx="49">
                  <c:v>34.345661149019442</c:v>
                </c:pt>
                <c:pt idx="50">
                  <c:v>33.910727756257842</c:v>
                </c:pt>
                <c:pt idx="51">
                  <c:v>33.388069567821624</c:v>
                </c:pt>
                <c:pt idx="52">
                  <c:v>32.770865033700318</c:v>
                </c:pt>
                <c:pt idx="53">
                  <c:v>32.051921162485712</c:v>
                </c:pt>
                <c:pt idx="54">
                  <c:v>31.223658065566593</c:v>
                </c:pt>
                <c:pt idx="55">
                  <c:v>30.27809305268962</c:v>
                </c:pt>
                <c:pt idx="56">
                  <c:v>29.20682427136687</c:v>
                </c:pt>
                <c:pt idx="57">
                  <c:v>28.001013882597416</c:v>
                </c:pt>
                <c:pt idx="58">
                  <c:v>26.651370765358124</c:v>
                </c:pt>
                <c:pt idx="59">
                  <c:v>25.148132742304316</c:v>
                </c:pt>
                <c:pt idx="60">
                  <c:v>23.48104831911143</c:v>
                </c:pt>
                <c:pt idx="61">
                  <c:v>21.639357929872137</c:v>
                </c:pt>
                <c:pt idx="62">
                  <c:v>19.611774680954891</c:v>
                </c:pt>
                <c:pt idx="63">
                  <c:v>17.386464585710595</c:v>
                </c:pt>
                <c:pt idx="64">
                  <c:v>14.95102628241645</c:v>
                </c:pt>
                <c:pt idx="65">
                  <c:v>12.292470227810512</c:v>
                </c:pt>
                <c:pt idx="66">
                  <c:v>9.3971973585799748</c:v>
                </c:pt>
                <c:pt idx="67">
                  <c:v>6.2509772131428578</c:v>
                </c:pt>
                <c:pt idx="68">
                  <c:v>2.8389255060505949</c:v>
                </c:pt>
                <c:pt idx="69">
                  <c:v>-0.85451885266777716</c:v>
                </c:pt>
                <c:pt idx="70">
                  <c:v>-4.8456173009177643</c:v>
                </c:pt>
                <c:pt idx="71">
                  <c:v>-9.1513557384127129</c:v>
                </c:pt>
                <c:pt idx="72">
                  <c:v>-13.789469218728239</c:v>
                </c:pt>
                <c:pt idx="73">
                  <c:v>-18.778467227268607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0D-404C-9D8C-D5332C7B4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604144"/>
        <c:axId val="1576602224"/>
      </c:scatterChart>
      <c:valAx>
        <c:axId val="157660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02224"/>
        <c:crosses val="autoZero"/>
        <c:crossBetween val="midCat"/>
      </c:valAx>
      <c:valAx>
        <c:axId val="15766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(Klb)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0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'60000'!$Z$25</c:f>
              <c:strCache>
                <c:ptCount val="1"/>
                <c:pt idx="0">
                  <c:v>L/D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'60000'!$Z$26:$Z$125</c:f>
              <c:numCache>
                <c:formatCode>General</c:formatCode>
                <c:ptCount val="100"/>
                <c:pt idx="0">
                  <c:v>7.9893430842448765E-2</c:v>
                </c:pt>
                <c:pt idx="1">
                  <c:v>0.13362578876968642</c:v>
                </c:pt>
                <c:pt idx="2">
                  <c:v>0.2011611802501756</c:v>
                </c:pt>
                <c:pt idx="3">
                  <c:v>0.28254051152001575</c:v>
                </c:pt>
                <c:pt idx="4">
                  <c:v>0.37780333484789808</c:v>
                </c:pt>
                <c:pt idx="5">
                  <c:v>0.48698239352558997</c:v>
                </c:pt>
                <c:pt idx="6">
                  <c:v>0.61009718752340591</c:v>
                </c:pt>
                <c:pt idx="7">
                  <c:v>0.74714655613044756</c:v>
                </c:pt>
                <c:pt idx="8">
                  <c:v>0.89810029047227458</c:v>
                </c:pt>
                <c:pt idx="9">
                  <c:v>1.0628898125590696</c:v>
                </c:pt>
                <c:pt idx="10">
                  <c:v>1.2413979892839297</c:v>
                </c:pt>
                <c:pt idx="11">
                  <c:v>1.433448190128084</c:v>
                </c:pt>
                <c:pt idx="12">
                  <c:v>1.638792746397395</c:v>
                </c:pt>
                <c:pt idx="13">
                  <c:v>1.8571010271866462</c:v>
                </c:pt>
                <c:pt idx="14">
                  <c:v>2.0879474117309011</c:v>
                </c:pt>
                <c:pt idx="15">
                  <c:v>2.3307995071518439</c:v>
                </c:pt>
                <c:pt idx="16">
                  <c:v>2.5850070314683222</c:v>
                </c:pt>
                <c:pt idx="17">
                  <c:v>2.8497918494548955</c:v>
                </c:pt>
                <c:pt idx="18">
                  <c:v>3.1242397075518245</c:v>
                </c:pt>
                <c:pt idx="19">
                  <c:v>3.407294256468294</c:v>
                </c:pt>
                <c:pt idx="20">
                  <c:v>3.6977539685201855</c:v>
                </c:pt>
                <c:pt idx="21">
                  <c:v>3.9942725430758608</c:v>
                </c:pt>
                <c:pt idx="22">
                  <c:v>4.295363340402389</c:v>
                </c:pt>
                <c:pt idx="23">
                  <c:v>4.5994082861074457</c:v>
                </c:pt>
                <c:pt idx="24">
                  <c:v>4.9046715425702061</c:v>
                </c:pt>
                <c:pt idx="25">
                  <c:v>5.2093180516189213</c:v>
                </c:pt>
                <c:pt idx="26">
                  <c:v>5.511436820572821</c:v>
                </c:pt>
                <c:pt idx="27">
                  <c:v>5.8090685633580526</c:v>
                </c:pt>
                <c:pt idx="28">
                  <c:v>7.2125500000000002</c:v>
                </c:pt>
                <c:pt idx="29">
                  <c:v>8.0901999999999905</c:v>
                </c:pt>
                <c:pt idx="30">
                  <c:v>8.9678500000000003</c:v>
                </c:pt>
                <c:pt idx="31">
                  <c:v>9.8454999999999906</c:v>
                </c:pt>
                <c:pt idx="32">
                  <c:v>10.72315</c:v>
                </c:pt>
                <c:pt idx="33">
                  <c:v>15.511113725511922</c:v>
                </c:pt>
                <c:pt idx="34">
                  <c:v>16.383050632420822</c:v>
                </c:pt>
                <c:pt idx="35">
                  <c:v>16.317108366550094</c:v>
                </c:pt>
                <c:pt idx="36">
                  <c:v>16.002596104391873</c:v>
                </c:pt>
                <c:pt idx="37">
                  <c:v>15.605332525638209</c:v>
                </c:pt>
                <c:pt idx="38">
                  <c:v>15.180955595173774</c:v>
                </c:pt>
                <c:pt idx="39">
                  <c:v>14.751605016689231</c:v>
                </c:pt>
                <c:pt idx="40">
                  <c:v>14.326975590181144</c:v>
                </c:pt>
                <c:pt idx="41">
                  <c:v>13.911519401511619</c:v>
                </c:pt>
                <c:pt idx="42">
                  <c:v>12.75257356824452</c:v>
                </c:pt>
                <c:pt idx="43">
                  <c:v>12.390273984857318</c:v>
                </c:pt>
                <c:pt idx="44">
                  <c:v>12.035291777691656</c:v>
                </c:pt>
                <c:pt idx="45">
                  <c:v>11.690317800719923</c:v>
                </c:pt>
                <c:pt idx="46">
                  <c:v>11.356040336378442</c:v>
                </c:pt>
                <c:pt idx="47">
                  <c:v>11.032594385400177</c:v>
                </c:pt>
                <c:pt idx="48">
                  <c:v>10.719888573729094</c:v>
                </c:pt>
                <c:pt idx="49">
                  <c:v>10.417722776966057</c:v>
                </c:pt>
                <c:pt idx="50">
                  <c:v>10.125840620866533</c:v>
                </c:pt>
                <c:pt idx="51">
                  <c:v>9.8439559924393336</c:v>
                </c:pt>
                <c:pt idx="52">
                  <c:v>9.5717675512306499</c:v>
                </c:pt>
                <c:pt idx="53">
                  <c:v>9.3089671551107909</c:v>
                </c:pt>
                <c:pt idx="54">
                  <c:v>9.0552449908973678</c:v>
                </c:pt>
                <c:pt idx="55">
                  <c:v>8.8102928290617477</c:v>
                </c:pt>
                <c:pt idx="56">
                  <c:v>8.5738061642222405</c:v>
                </c:pt>
                <c:pt idx="57">
                  <c:v>8.3454856671267077</c:v>
                </c:pt>
                <c:pt idx="58">
                  <c:v>8.1250381939438121</c:v>
                </c:pt>
                <c:pt idx="59">
                  <c:v>7.9121774989288314</c:v>
                </c:pt>
                <c:pt idx="60">
                  <c:v>7.7066247397564238</c:v>
                </c:pt>
                <c:pt idx="61">
                  <c:v>7.5081088317623506</c:v>
                </c:pt>
                <c:pt idx="62">
                  <c:v>7.3163666877714686</c:v>
                </c:pt>
                <c:pt idx="63">
                  <c:v>7.1311433683738663</c:v>
                </c:pt>
                <c:pt idx="64">
                  <c:v>6.9521921602690888</c:v>
                </c:pt>
                <c:pt idx="65">
                  <c:v>6.779274595741609</c:v>
                </c:pt>
                <c:pt idx="66">
                  <c:v>6.6121604233901943</c:v>
                </c:pt>
                <c:pt idx="67">
                  <c:v>6.4506275382575646</c:v>
                </c:pt>
                <c:pt idx="68">
                  <c:v>6.2944618781343102</c:v>
                </c:pt>
                <c:pt idx="69">
                  <c:v>6.1434572917851717</c:v>
                </c:pt>
                <c:pt idx="70">
                  <c:v>5.9974153840587032</c:v>
                </c:pt>
                <c:pt idx="71">
                  <c:v>5.8561453422117875</c:v>
                </c:pt>
                <c:pt idx="72">
                  <c:v>5.7194637472233136</c:v>
                </c:pt>
                <c:pt idx="73">
                  <c:v>5.5871943734172733</c:v>
                </c:pt>
                <c:pt idx="74">
                  <c:v>5.4591679792911538</c:v>
                </c:pt>
                <c:pt idx="75">
                  <c:v>5.3352220920861884</c:v>
                </c:pt>
                <c:pt idx="76">
                  <c:v>5.2152007882887563</c:v>
                </c:pt>
                <c:pt idx="77">
                  <c:v>5.0989544719702886</c:v>
                </c:pt>
                <c:pt idx="78">
                  <c:v>4.9863396525890931</c:v>
                </c:pt>
                <c:pt idx="79">
                  <c:v>4.8772187236444946</c:v>
                </c:pt>
                <c:pt idx="80">
                  <c:v>4.7714597433580366</c:v>
                </c:pt>
                <c:pt idx="81">
                  <c:v>4.6689362183594376</c:v>
                </c:pt>
                <c:pt idx="82">
                  <c:v>4.5695268911928126</c:v>
                </c:pt>
                <c:pt idx="83">
                  <c:v>4.4731155322978013</c:v>
                </c:pt>
                <c:pt idx="84">
                  <c:v>4.3795907370039737</c:v>
                </c:pt>
                <c:pt idx="85">
                  <c:v>4.2888457279437189</c:v>
                </c:pt>
                <c:pt idx="86">
                  <c:v>4.2007781632039443</c:v>
                </c:pt>
                <c:pt idx="87">
                  <c:v>4.1152899504429516</c:v>
                </c:pt>
                <c:pt idx="88">
                  <c:v>4.0322870671243045</c:v>
                </c:pt>
                <c:pt idx="89">
                  <c:v>3.9516793869599534</c:v>
                </c:pt>
                <c:pt idx="90">
                  <c:v>3.8733805125967811</c:v>
                </c:pt>
                <c:pt idx="91">
                  <c:v>3.79730761453719</c:v>
                </c:pt>
                <c:pt idx="92">
                  <c:v>3.7233812762449792</c:v>
                </c:pt>
                <c:pt idx="93">
                  <c:v>3.6515253453591789</c:v>
                </c:pt>
                <c:pt idx="94">
                  <c:v>3.5816667909077178</c:v>
                </c:pt>
                <c:pt idx="95">
                  <c:v>3.5137355663969401</c:v>
                </c:pt>
                <c:pt idx="96">
                  <c:v>3.4476644786316402</c:v>
                </c:pt>
                <c:pt idx="97">
                  <c:v>3.3833890621116756</c:v>
                </c:pt>
                <c:pt idx="98">
                  <c:v>3.320847458838645</c:v>
                </c:pt>
                <c:pt idx="99">
                  <c:v>3.2599803033602242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5-4CFE-A223-DAE25ACF3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453584"/>
        <c:axId val="926449744"/>
      </c:scatterChart>
      <c:valAx>
        <c:axId val="9264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49744"/>
        <c:crosses val="autoZero"/>
        <c:crossBetween val="midCat"/>
      </c:valAx>
      <c:valAx>
        <c:axId val="9264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5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Required &amp; Available (wet, dry) vs 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'60000'!$AD$25</c:f>
              <c:strCache>
                <c:ptCount val="1"/>
                <c:pt idx="0">
                  <c:v>Power Required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'60000'!$V$41:$V$104</c:f>
              <c:numCache>
                <c:formatCode>General</c:formatCode>
                <c:ptCount val="64"/>
                <c:pt idx="0">
                  <c:v>0.53939393939393898</c:v>
                </c:pt>
                <c:pt idx="1">
                  <c:v>0.56868686868686902</c:v>
                </c:pt>
                <c:pt idx="2">
                  <c:v>0.59797979797979794</c:v>
                </c:pt>
                <c:pt idx="3">
                  <c:v>0.62727272727272698</c:v>
                </c:pt>
                <c:pt idx="4">
                  <c:v>0.65656565656565702</c:v>
                </c:pt>
                <c:pt idx="5">
                  <c:v>0.68585858585858595</c:v>
                </c:pt>
                <c:pt idx="6">
                  <c:v>0.71515151515151498</c:v>
                </c:pt>
                <c:pt idx="7">
                  <c:v>0.74444444444444402</c:v>
                </c:pt>
                <c:pt idx="8">
                  <c:v>0.77373737373737395</c:v>
                </c:pt>
                <c:pt idx="9">
                  <c:v>0.80303030303030298</c:v>
                </c:pt>
                <c:pt idx="10">
                  <c:v>0.83232323232323202</c:v>
                </c:pt>
                <c:pt idx="11">
                  <c:v>0.86161616161616195</c:v>
                </c:pt>
                <c:pt idx="12">
                  <c:v>0.89090909090909098</c:v>
                </c:pt>
                <c:pt idx="13">
                  <c:v>0.92020202020202002</c:v>
                </c:pt>
                <c:pt idx="14">
                  <c:v>0.94949494949494895</c:v>
                </c:pt>
                <c:pt idx="15">
                  <c:v>0.97878787878787898</c:v>
                </c:pt>
                <c:pt idx="16">
                  <c:v>1.0080808080807999</c:v>
                </c:pt>
                <c:pt idx="17">
                  <c:v>1.03737373737373</c:v>
                </c:pt>
                <c:pt idx="18">
                  <c:v>1.06666666666666</c:v>
                </c:pt>
                <c:pt idx="19">
                  <c:v>1.09595959595959</c:v>
                </c:pt>
                <c:pt idx="20">
                  <c:v>1.1252525252525201</c:v>
                </c:pt>
                <c:pt idx="21">
                  <c:v>1.1545454545454501</c:v>
                </c:pt>
                <c:pt idx="22">
                  <c:v>1.1838383838383799</c:v>
                </c:pt>
                <c:pt idx="23">
                  <c:v>1.21313131313131</c:v>
                </c:pt>
                <c:pt idx="24">
                  <c:v>1.24242424242424</c:v>
                </c:pt>
                <c:pt idx="25">
                  <c:v>1.27171717171717</c:v>
                </c:pt>
                <c:pt idx="26">
                  <c:v>1.3010101010101001</c:v>
                </c:pt>
                <c:pt idx="27">
                  <c:v>1.3303030303030301</c:v>
                </c:pt>
                <c:pt idx="28">
                  <c:v>1.3595959595959599</c:v>
                </c:pt>
                <c:pt idx="29">
                  <c:v>1.38888888888888</c:v>
                </c:pt>
                <c:pt idx="30">
                  <c:v>1.41818181818181</c:v>
                </c:pt>
                <c:pt idx="31">
                  <c:v>1.44747474747474</c:v>
                </c:pt>
                <c:pt idx="32">
                  <c:v>1.4767676767676701</c:v>
                </c:pt>
                <c:pt idx="33">
                  <c:v>1.5060606060606001</c:v>
                </c:pt>
                <c:pt idx="34">
                  <c:v>1.5353535353535299</c:v>
                </c:pt>
                <c:pt idx="35">
                  <c:v>1.56464646464646</c:v>
                </c:pt>
                <c:pt idx="36">
                  <c:v>1.59393939393939</c:v>
                </c:pt>
                <c:pt idx="37">
                  <c:v>1.62323232323232</c:v>
                </c:pt>
                <c:pt idx="38">
                  <c:v>1.6525252525252501</c:v>
                </c:pt>
                <c:pt idx="39">
                  <c:v>1.6818181818181801</c:v>
                </c:pt>
                <c:pt idx="40">
                  <c:v>1.7111111111111099</c:v>
                </c:pt>
                <c:pt idx="41">
                  <c:v>1.74040404040404</c:v>
                </c:pt>
                <c:pt idx="42">
                  <c:v>1.76969696969697</c:v>
                </c:pt>
                <c:pt idx="43">
                  <c:v>1.79898989898989</c:v>
                </c:pt>
                <c:pt idx="44">
                  <c:v>1.8282828282828201</c:v>
                </c:pt>
                <c:pt idx="45">
                  <c:v>1.8575757575757501</c:v>
                </c:pt>
                <c:pt idx="46">
                  <c:v>1.8868686868686799</c:v>
                </c:pt>
                <c:pt idx="47">
                  <c:v>1.91616161616161</c:v>
                </c:pt>
                <c:pt idx="48">
                  <c:v>1.94545454545454</c:v>
                </c:pt>
                <c:pt idx="49">
                  <c:v>1.97474747474747</c:v>
                </c:pt>
                <c:pt idx="50">
                  <c:v>2.0040404040404001</c:v>
                </c:pt>
                <c:pt idx="51">
                  <c:v>2.0333333333333301</c:v>
                </c:pt>
                <c:pt idx="52">
                  <c:v>2.0626262626262601</c:v>
                </c:pt>
                <c:pt idx="53">
                  <c:v>2.0919191919191902</c:v>
                </c:pt>
                <c:pt idx="54">
                  <c:v>2.1212121212121202</c:v>
                </c:pt>
                <c:pt idx="55">
                  <c:v>2.1505050505050498</c:v>
                </c:pt>
                <c:pt idx="56">
                  <c:v>2.1797979797979798</c:v>
                </c:pt>
                <c:pt idx="57">
                  <c:v>2.2090909090909001</c:v>
                </c:pt>
                <c:pt idx="58">
                  <c:v>2.2383838383838301</c:v>
                </c:pt>
                <c:pt idx="59">
                  <c:v>2.2676767676767602</c:v>
                </c:pt>
                <c:pt idx="60">
                  <c:v>2.2969696969696898</c:v>
                </c:pt>
                <c:pt idx="61">
                  <c:v>2.3262626262626198</c:v>
                </c:pt>
                <c:pt idx="62">
                  <c:v>2.3555555555555499</c:v>
                </c:pt>
                <c:pt idx="63">
                  <c:v>2.3848484848484799</c:v>
                </c:pt>
              </c:numCache>
            </c:numRef>
          </c:xVal>
          <c:yVal>
            <c:numRef>
              <c:f>'60000'!$AD$41:$AD$104</c:f>
              <c:numCache>
                <c:formatCode>General</c:formatCode>
                <c:ptCount val="64"/>
                <c:pt idx="0">
                  <c:v>32381123.468681838</c:v>
                </c:pt>
                <c:pt idx="1">
                  <c:v>30782383.128152598</c:v>
                </c:pt>
                <c:pt idx="2">
                  <c:v>29360546.826404326</c:v>
                </c:pt>
                <c:pt idx="3">
                  <c:v>28093304.441099599</c:v>
                </c:pt>
                <c:pt idx="4">
                  <c:v>26962446.019044008</c:v>
                </c:pt>
                <c:pt idx="5">
                  <c:v>25952986.187783118</c:v>
                </c:pt>
                <c:pt idx="6">
                  <c:v>25052503.754179511</c:v>
                </c:pt>
                <c:pt idx="7">
                  <c:v>24250637.218658548</c:v>
                </c:pt>
                <c:pt idx="8">
                  <c:v>23538694.885434702</c:v>
                </c:pt>
                <c:pt idx="9">
                  <c:v>22909350.307103567</c:v>
                </c:pt>
                <c:pt idx="10">
                  <c:v>22356402.040691137</c:v>
                </c:pt>
                <c:pt idx="11">
                  <c:v>21874582.410089549</c:v>
                </c:pt>
                <c:pt idx="12">
                  <c:v>21459403.99563124</c:v>
                </c:pt>
                <c:pt idx="13" formatCode="0.00E+00">
                  <c:v>18542658.698333301</c:v>
                </c:pt>
                <c:pt idx="14" formatCode="0.00E+00">
                  <c:v>17407241.3866666</c:v>
                </c:pt>
                <c:pt idx="15" formatCode="0.00E+00">
                  <c:v>16271824.074999999</c:v>
                </c:pt>
                <c:pt idx="16" formatCode="0.00E+00">
                  <c:v>15136406.7633333</c:v>
                </c:pt>
                <c:pt idx="17" formatCode="0.00E+00">
                  <c:v>14000989.451666599</c:v>
                </c:pt>
                <c:pt idx="18">
                  <c:v>9622247.1860764008</c:v>
                </c:pt>
                <c:pt idx="19">
                  <c:v>9360316.588691283</c:v>
                </c:pt>
                <c:pt idx="20">
                  <c:v>9649339.04224029</c:v>
                </c:pt>
                <c:pt idx="21">
                  <c:v>10095117.065616667</c:v>
                </c:pt>
                <c:pt idx="22">
                  <c:v>10614759.471819868</c:v>
                </c:pt>
                <c:pt idx="23">
                  <c:v>11181484.61623726</c:v>
                </c:pt>
                <c:pt idx="24">
                  <c:v>11784778.094338704</c:v>
                </c:pt>
                <c:pt idx="25">
                  <c:v>12420148.324170215</c:v>
                </c:pt>
                <c:pt idx="26">
                  <c:v>13085697.314761678</c:v>
                </c:pt>
                <c:pt idx="27">
                  <c:v>14596324.521501174</c:v>
                </c:pt>
                <c:pt idx="28">
                  <c:v>15353935.895906312</c:v>
                </c:pt>
                <c:pt idx="29">
                  <c:v>16147364.459101371</c:v>
                </c:pt>
                <c:pt idx="30">
                  <c:v>16974475.484626483</c:v>
                </c:pt>
                <c:pt idx="31">
                  <c:v>17835070.775224395</c:v>
                </c:pt>
                <c:pt idx="32">
                  <c:v>18729461.640397031</c:v>
                </c:pt>
                <c:pt idx="33">
                  <c:v>19658163.617637753</c:v>
                </c:pt>
                <c:pt idx="34">
                  <c:v>20621790.227516193</c:v>
                </c:pt>
                <c:pt idx="35">
                  <c:v>21621006.310691465</c:v>
                </c:pt>
                <c:pt idx="36">
                  <c:v>22656504.594891444</c:v>
                </c:pt>
                <c:pt idx="37">
                  <c:v>23728992.912621297</c:v>
                </c:pt>
                <c:pt idx="38">
                  <c:v>24839186.855145622</c:v>
                </c:pt>
                <c:pt idx="39">
                  <c:v>25987805.414493743</c:v>
                </c:pt>
                <c:pt idx="40">
                  <c:v>27175568.356143635</c:v>
                </c:pt>
                <c:pt idx="41">
                  <c:v>28403194.632485621</c:v>
                </c:pt>
                <c:pt idx="42">
                  <c:v>29671401.43908048</c:v>
                </c:pt>
                <c:pt idx="43">
                  <c:v>30980903.675115459</c:v>
                </c:pt>
                <c:pt idx="44">
                  <c:v>32332413.660795707</c:v>
                </c:pt>
                <c:pt idx="45">
                  <c:v>33726641.018597409</c:v>
                </c:pt>
                <c:pt idx="46">
                  <c:v>35164292.658586107</c:v>
                </c:pt>
                <c:pt idx="47">
                  <c:v>36646072.828817293</c:v>
                </c:pt>
                <c:pt idx="48">
                  <c:v>38172683.205257088</c:v>
                </c:pt>
                <c:pt idx="49">
                  <c:v>39744823.00433284</c:v>
                </c:pt>
                <c:pt idx="50">
                  <c:v>41363189.106979914</c:v>
                </c:pt>
                <c:pt idx="51">
                  <c:v>43028476.186869308</c:v>
                </c:pt>
                <c:pt idx="52">
                  <c:v>44741376.838099591</c:v>
                </c:pt>
                <c:pt idx="53">
                  <c:v>46502581.69932127</c:v>
                </c:pt>
                <c:pt idx="54">
                  <c:v>48312779.572486803</c:v>
                </c:pt>
                <c:pt idx="55">
                  <c:v>50172657.53521435</c:v>
                </c:pt>
                <c:pt idx="56">
                  <c:v>52082901.046203665</c:v>
                </c:pt>
                <c:pt idx="57">
                  <c:v>54044194.043622546</c:v>
                </c:pt>
                <c:pt idx="58">
                  <c:v>56057219.036508679</c:v>
                </c:pt>
                <c:pt idx="59">
                  <c:v>58122657.189457051</c:v>
                </c:pt>
                <c:pt idx="60">
                  <c:v>60241188.400861092</c:v>
                </c:pt>
                <c:pt idx="61">
                  <c:v>62413491.375162311</c:v>
                </c:pt>
                <c:pt idx="62">
                  <c:v>64640243.689416528</c:v>
                </c:pt>
                <c:pt idx="63">
                  <c:v>66922121.854641765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E0-4C5B-96AC-2229ABA1D099}"/>
            </c:ext>
          </c:extLst>
        </c:ser>
        <c:ser>
          <c:idx val="1"/>
          <c:order val="1"/>
          <c:tx>
            <c:strRef>
              <c:f>'60000'!$AE$25</c:f>
              <c:strCache>
                <c:ptCount val="1"/>
                <c:pt idx="0">
                  <c:v>Power Available (dry)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'60000'!$V$41:$V$104</c:f>
              <c:numCache>
                <c:formatCode>General</c:formatCode>
                <c:ptCount val="64"/>
                <c:pt idx="0">
                  <c:v>0.53939393939393898</c:v>
                </c:pt>
                <c:pt idx="1">
                  <c:v>0.56868686868686902</c:v>
                </c:pt>
                <c:pt idx="2">
                  <c:v>0.59797979797979794</c:v>
                </c:pt>
                <c:pt idx="3">
                  <c:v>0.62727272727272698</c:v>
                </c:pt>
                <c:pt idx="4">
                  <c:v>0.65656565656565702</c:v>
                </c:pt>
                <c:pt idx="5">
                  <c:v>0.68585858585858595</c:v>
                </c:pt>
                <c:pt idx="6">
                  <c:v>0.71515151515151498</c:v>
                </c:pt>
                <c:pt idx="7">
                  <c:v>0.74444444444444402</c:v>
                </c:pt>
                <c:pt idx="8">
                  <c:v>0.77373737373737395</c:v>
                </c:pt>
                <c:pt idx="9">
                  <c:v>0.80303030303030298</c:v>
                </c:pt>
                <c:pt idx="10">
                  <c:v>0.83232323232323202</c:v>
                </c:pt>
                <c:pt idx="11">
                  <c:v>0.86161616161616195</c:v>
                </c:pt>
                <c:pt idx="12">
                  <c:v>0.89090909090909098</c:v>
                </c:pt>
                <c:pt idx="13">
                  <c:v>0.92020202020202002</c:v>
                </c:pt>
                <c:pt idx="14">
                  <c:v>0.94949494949494895</c:v>
                </c:pt>
                <c:pt idx="15">
                  <c:v>0.97878787878787898</c:v>
                </c:pt>
                <c:pt idx="16">
                  <c:v>1.0080808080807999</c:v>
                </c:pt>
                <c:pt idx="17">
                  <c:v>1.03737373737373</c:v>
                </c:pt>
                <c:pt idx="18">
                  <c:v>1.06666666666666</c:v>
                </c:pt>
                <c:pt idx="19">
                  <c:v>1.09595959595959</c:v>
                </c:pt>
                <c:pt idx="20">
                  <c:v>1.1252525252525201</c:v>
                </c:pt>
                <c:pt idx="21">
                  <c:v>1.1545454545454501</c:v>
                </c:pt>
                <c:pt idx="22">
                  <c:v>1.1838383838383799</c:v>
                </c:pt>
                <c:pt idx="23">
                  <c:v>1.21313131313131</c:v>
                </c:pt>
                <c:pt idx="24">
                  <c:v>1.24242424242424</c:v>
                </c:pt>
                <c:pt idx="25">
                  <c:v>1.27171717171717</c:v>
                </c:pt>
                <c:pt idx="26">
                  <c:v>1.3010101010101001</c:v>
                </c:pt>
                <c:pt idx="27">
                  <c:v>1.3303030303030301</c:v>
                </c:pt>
                <c:pt idx="28">
                  <c:v>1.3595959595959599</c:v>
                </c:pt>
                <c:pt idx="29">
                  <c:v>1.38888888888888</c:v>
                </c:pt>
                <c:pt idx="30">
                  <c:v>1.41818181818181</c:v>
                </c:pt>
                <c:pt idx="31">
                  <c:v>1.44747474747474</c:v>
                </c:pt>
                <c:pt idx="32">
                  <c:v>1.4767676767676701</c:v>
                </c:pt>
                <c:pt idx="33">
                  <c:v>1.5060606060606001</c:v>
                </c:pt>
                <c:pt idx="34">
                  <c:v>1.5353535353535299</c:v>
                </c:pt>
                <c:pt idx="35">
                  <c:v>1.56464646464646</c:v>
                </c:pt>
                <c:pt idx="36">
                  <c:v>1.59393939393939</c:v>
                </c:pt>
                <c:pt idx="37">
                  <c:v>1.62323232323232</c:v>
                </c:pt>
                <c:pt idx="38">
                  <c:v>1.6525252525252501</c:v>
                </c:pt>
                <c:pt idx="39">
                  <c:v>1.6818181818181801</c:v>
                </c:pt>
                <c:pt idx="40">
                  <c:v>1.7111111111111099</c:v>
                </c:pt>
                <c:pt idx="41">
                  <c:v>1.74040404040404</c:v>
                </c:pt>
                <c:pt idx="42">
                  <c:v>1.76969696969697</c:v>
                </c:pt>
                <c:pt idx="43">
                  <c:v>1.79898989898989</c:v>
                </c:pt>
                <c:pt idx="44">
                  <c:v>1.8282828282828201</c:v>
                </c:pt>
                <c:pt idx="45">
                  <c:v>1.8575757575757501</c:v>
                </c:pt>
                <c:pt idx="46">
                  <c:v>1.8868686868686799</c:v>
                </c:pt>
                <c:pt idx="47">
                  <c:v>1.91616161616161</c:v>
                </c:pt>
                <c:pt idx="48">
                  <c:v>1.94545454545454</c:v>
                </c:pt>
                <c:pt idx="49">
                  <c:v>1.97474747474747</c:v>
                </c:pt>
                <c:pt idx="50">
                  <c:v>2.0040404040404001</c:v>
                </c:pt>
                <c:pt idx="51">
                  <c:v>2.0333333333333301</c:v>
                </c:pt>
                <c:pt idx="52">
                  <c:v>2.0626262626262601</c:v>
                </c:pt>
                <c:pt idx="53">
                  <c:v>2.0919191919191902</c:v>
                </c:pt>
                <c:pt idx="54">
                  <c:v>2.1212121212121202</c:v>
                </c:pt>
                <c:pt idx="55">
                  <c:v>2.1505050505050498</c:v>
                </c:pt>
                <c:pt idx="56">
                  <c:v>2.1797979797979798</c:v>
                </c:pt>
                <c:pt idx="57">
                  <c:v>2.2090909090909001</c:v>
                </c:pt>
                <c:pt idx="58">
                  <c:v>2.2383838383838301</c:v>
                </c:pt>
                <c:pt idx="59">
                  <c:v>2.2676767676767602</c:v>
                </c:pt>
                <c:pt idx="60">
                  <c:v>2.2969696969696898</c:v>
                </c:pt>
                <c:pt idx="61">
                  <c:v>2.3262626262626198</c:v>
                </c:pt>
                <c:pt idx="62">
                  <c:v>2.3555555555555499</c:v>
                </c:pt>
                <c:pt idx="63">
                  <c:v>2.3848484848484799</c:v>
                </c:pt>
              </c:numCache>
            </c:numRef>
          </c:xVal>
          <c:yVal>
            <c:numRef>
              <c:f>'60000'!$AE$41:$AE$104</c:f>
              <c:numCache>
                <c:formatCode>General</c:formatCode>
                <c:ptCount val="64"/>
                <c:pt idx="0">
                  <c:v>9346164.3157999068</c:v>
                </c:pt>
                <c:pt idx="1">
                  <c:v>9894671.8996791299</c:v>
                </c:pt>
                <c:pt idx="2">
                  <c:v>10450367.158590958</c:v>
                </c:pt>
                <c:pt idx="3">
                  <c:v>11013339.925743958</c:v>
                </c:pt>
                <c:pt idx="4">
                  <c:v>11583590.739454865</c:v>
                </c:pt>
                <c:pt idx="5">
                  <c:v>12161022.8729693</c:v>
                </c:pt>
                <c:pt idx="6">
                  <c:v>12745433.592181994</c:v>
                </c:pt>
                <c:pt idx="7">
                  <c:v>13336504.596058961</c:v>
                </c:pt>
                <c:pt idx="8">
                  <c:v>13933791.592205843</c:v>
                </c:pt>
                <c:pt idx="9">
                  <c:v>14536712.957607357</c:v>
                </c:pt>
                <c:pt idx="10">
                  <c:v>15144537.432084057</c:v>
                </c:pt>
                <c:pt idx="11">
                  <c:v>15756370.789471788</c:v>
                </c:pt>
                <c:pt idx="12">
                  <c:v>16371141.428927915</c:v>
                </c:pt>
                <c:pt idx="13">
                  <c:v>16987584.826105487</c:v>
                </c:pt>
                <c:pt idx="14">
                  <c:v>17604226.781210493</c:v>
                </c:pt>
                <c:pt idx="15">
                  <c:v>18219365.398170657</c:v>
                </c:pt>
                <c:pt idx="16">
                  <c:v>18831051.726293281</c:v>
                </c:pt>
                <c:pt idx="17">
                  <c:v>19437068.99287853</c:v>
                </c:pt>
                <c:pt idx="18">
                  <c:v>20034910.352274109</c:v>
                </c:pt>
                <c:pt idx="19">
                  <c:v>20621755.073825095</c:v>
                </c:pt>
                <c:pt idx="20">
                  <c:v>21194443.08806261</c:v>
                </c:pt>
                <c:pt idx="21">
                  <c:v>21749447.807313304</c:v>
                </c:pt>
                <c:pt idx="22">
                  <c:v>22282847.133679125</c:v>
                </c:pt>
                <c:pt idx="23">
                  <c:v>22790292.564042967</c:v>
                </c:pt>
                <c:pt idx="24">
                  <c:v>23266976.298396893</c:v>
                </c:pt>
                <c:pt idx="25">
                  <c:v>23707596.254366502</c:v>
                </c:pt>
                <c:pt idx="26">
                  <c:v>24106318.887317251</c:v>
                </c:pt>
                <c:pt idx="27">
                  <c:v>24456739.711875759</c:v>
                </c:pt>
                <c:pt idx="28">
                  <c:v>24751841.417082191</c:v>
                </c:pt>
                <c:pt idx="29">
                  <c:v>24983949.463706732</c:v>
                </c:pt>
                <c:pt idx="30">
                  <c:v>25144685.048516307</c:v>
                </c:pt>
                <c:pt idx="31">
                  <c:v>25224915.316462949</c:v>
                </c:pt>
                <c:pt idx="32">
                  <c:v>25214700.697889395</c:v>
                </c:pt>
                <c:pt idx="33">
                  <c:v>25103239.243900646</c:v>
                </c:pt>
                <c:pt idx="34">
                  <c:v>24878807.829041746</c:v>
                </c:pt>
                <c:pt idx="35">
                  <c:v>24528700.086346105</c:v>
                </c:pt>
                <c:pt idx="36">
                  <c:v>24039160.935676429</c:v>
                </c:pt>
                <c:pt idx="37">
                  <c:v>23395317.562072664</c:v>
                </c:pt>
                <c:pt idx="38">
                  <c:v>22581106.696547091</c:v>
                </c:pt>
                <c:pt idx="39">
                  <c:v>21579198.047425915</c:v>
                </c:pt>
                <c:pt idx="40">
                  <c:v>20370913.725929942</c:v>
                </c:pt>
                <c:pt idx="41">
                  <c:v>18936143.505212452</c:v>
                </c:pt>
                <c:pt idx="42">
                  <c:v>17253255.747533105</c:v>
                </c:pt>
                <c:pt idx="43">
                  <c:v>15299003.829639092</c:v>
                </c:pt>
                <c:pt idx="44">
                  <c:v>13048427.891745847</c:v>
                </c:pt>
                <c:pt idx="45">
                  <c:v>10474751.73078374</c:v>
                </c:pt>
                <c:pt idx="46">
                  <c:v>7549274.6537438156</c:v>
                </c:pt>
                <c:pt idx="47">
                  <c:v>4241258.1021045819</c:v>
                </c:pt>
                <c:pt idx="48">
                  <c:v>517806.85336471279</c:v>
                </c:pt>
                <c:pt idx="49">
                  <c:v>-3656255.3992995042</c:v>
                </c:pt>
                <c:pt idx="50">
                  <c:v>-8318516.2933105258</c:v>
                </c:pt>
                <c:pt idx="51">
                  <c:v>-13509111.078104194</c:v>
                </c:pt>
                <c:pt idx="52">
                  <c:v>-19270865.146099646</c:v>
                </c:pt>
                <c:pt idx="53">
                  <c:v>-25649443.032922138</c:v>
                </c:pt>
                <c:pt idx="54">
                  <c:v>-32693504.111924775</c:v>
                </c:pt>
                <c:pt idx="55">
                  <c:v>-40454865.21347025</c:v>
                </c:pt>
                <c:pt idx="56">
                  <c:v>-48988670.404920153</c:v>
                </c:pt>
                <c:pt idx="57">
                  <c:v>-58353568.172823399</c:v>
                </c:pt>
                <c:pt idx="58">
                  <c:v>-68611896.254443675</c:v>
                </c:pt>
                <c:pt idx="59">
                  <c:v>-79829874.371382833</c:v>
                </c:pt>
                <c:pt idx="60">
                  <c:v>-92077805.123921826</c:v>
                </c:pt>
                <c:pt idx="61">
                  <c:v>-105430283.31042403</c:v>
                </c:pt>
                <c:pt idx="62">
                  <c:v>-119966413.94208962</c:v>
                </c:pt>
                <c:pt idx="63">
                  <c:v>-135770039.22930646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E0-4C5B-96AC-2229ABA1D099}"/>
            </c:ext>
          </c:extLst>
        </c:ser>
        <c:ser>
          <c:idx val="2"/>
          <c:order val="2"/>
          <c:tx>
            <c:strRef>
              <c:f>'60000'!$AF$25</c:f>
              <c:strCache>
                <c:ptCount val="1"/>
                <c:pt idx="0">
                  <c:v>Power Available (wet)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'60000'!$V$41:$V$104</c:f>
              <c:numCache>
                <c:formatCode>General</c:formatCode>
                <c:ptCount val="64"/>
                <c:pt idx="0">
                  <c:v>0.53939393939393898</c:v>
                </c:pt>
                <c:pt idx="1">
                  <c:v>0.56868686868686902</c:v>
                </c:pt>
                <c:pt idx="2">
                  <c:v>0.59797979797979794</c:v>
                </c:pt>
                <c:pt idx="3">
                  <c:v>0.62727272727272698</c:v>
                </c:pt>
                <c:pt idx="4">
                  <c:v>0.65656565656565702</c:v>
                </c:pt>
                <c:pt idx="5">
                  <c:v>0.68585858585858595</c:v>
                </c:pt>
                <c:pt idx="6">
                  <c:v>0.71515151515151498</c:v>
                </c:pt>
                <c:pt idx="7">
                  <c:v>0.74444444444444402</c:v>
                </c:pt>
                <c:pt idx="8">
                  <c:v>0.77373737373737395</c:v>
                </c:pt>
                <c:pt idx="9">
                  <c:v>0.80303030303030298</c:v>
                </c:pt>
                <c:pt idx="10">
                  <c:v>0.83232323232323202</c:v>
                </c:pt>
                <c:pt idx="11">
                  <c:v>0.86161616161616195</c:v>
                </c:pt>
                <c:pt idx="12">
                  <c:v>0.89090909090909098</c:v>
                </c:pt>
                <c:pt idx="13">
                  <c:v>0.92020202020202002</c:v>
                </c:pt>
                <c:pt idx="14">
                  <c:v>0.94949494949494895</c:v>
                </c:pt>
                <c:pt idx="15">
                  <c:v>0.97878787878787898</c:v>
                </c:pt>
                <c:pt idx="16">
                  <c:v>1.0080808080807999</c:v>
                </c:pt>
                <c:pt idx="17">
                  <c:v>1.03737373737373</c:v>
                </c:pt>
                <c:pt idx="18">
                  <c:v>1.06666666666666</c:v>
                </c:pt>
                <c:pt idx="19">
                  <c:v>1.09595959595959</c:v>
                </c:pt>
                <c:pt idx="20">
                  <c:v>1.1252525252525201</c:v>
                </c:pt>
                <c:pt idx="21">
                  <c:v>1.1545454545454501</c:v>
                </c:pt>
                <c:pt idx="22">
                  <c:v>1.1838383838383799</c:v>
                </c:pt>
                <c:pt idx="23">
                  <c:v>1.21313131313131</c:v>
                </c:pt>
                <c:pt idx="24">
                  <c:v>1.24242424242424</c:v>
                </c:pt>
                <c:pt idx="25">
                  <c:v>1.27171717171717</c:v>
                </c:pt>
                <c:pt idx="26">
                  <c:v>1.3010101010101001</c:v>
                </c:pt>
                <c:pt idx="27">
                  <c:v>1.3303030303030301</c:v>
                </c:pt>
                <c:pt idx="28">
                  <c:v>1.3595959595959599</c:v>
                </c:pt>
                <c:pt idx="29">
                  <c:v>1.38888888888888</c:v>
                </c:pt>
                <c:pt idx="30">
                  <c:v>1.41818181818181</c:v>
                </c:pt>
                <c:pt idx="31">
                  <c:v>1.44747474747474</c:v>
                </c:pt>
                <c:pt idx="32">
                  <c:v>1.4767676767676701</c:v>
                </c:pt>
                <c:pt idx="33">
                  <c:v>1.5060606060606001</c:v>
                </c:pt>
                <c:pt idx="34">
                  <c:v>1.5353535353535299</c:v>
                </c:pt>
                <c:pt idx="35">
                  <c:v>1.56464646464646</c:v>
                </c:pt>
                <c:pt idx="36">
                  <c:v>1.59393939393939</c:v>
                </c:pt>
                <c:pt idx="37">
                  <c:v>1.62323232323232</c:v>
                </c:pt>
                <c:pt idx="38">
                  <c:v>1.6525252525252501</c:v>
                </c:pt>
                <c:pt idx="39">
                  <c:v>1.6818181818181801</c:v>
                </c:pt>
                <c:pt idx="40">
                  <c:v>1.7111111111111099</c:v>
                </c:pt>
                <c:pt idx="41">
                  <c:v>1.74040404040404</c:v>
                </c:pt>
                <c:pt idx="42">
                  <c:v>1.76969696969697</c:v>
                </c:pt>
                <c:pt idx="43">
                  <c:v>1.79898989898989</c:v>
                </c:pt>
                <c:pt idx="44">
                  <c:v>1.8282828282828201</c:v>
                </c:pt>
                <c:pt idx="45">
                  <c:v>1.8575757575757501</c:v>
                </c:pt>
                <c:pt idx="46">
                  <c:v>1.8868686868686799</c:v>
                </c:pt>
                <c:pt idx="47">
                  <c:v>1.91616161616161</c:v>
                </c:pt>
                <c:pt idx="48">
                  <c:v>1.94545454545454</c:v>
                </c:pt>
                <c:pt idx="49">
                  <c:v>1.97474747474747</c:v>
                </c:pt>
                <c:pt idx="50">
                  <c:v>2.0040404040404001</c:v>
                </c:pt>
                <c:pt idx="51">
                  <c:v>2.0333333333333301</c:v>
                </c:pt>
                <c:pt idx="52">
                  <c:v>2.0626262626262601</c:v>
                </c:pt>
                <c:pt idx="53">
                  <c:v>2.0919191919191902</c:v>
                </c:pt>
                <c:pt idx="54">
                  <c:v>2.1212121212121202</c:v>
                </c:pt>
                <c:pt idx="55">
                  <c:v>2.1505050505050498</c:v>
                </c:pt>
                <c:pt idx="56">
                  <c:v>2.1797979797979798</c:v>
                </c:pt>
                <c:pt idx="57">
                  <c:v>2.2090909090909001</c:v>
                </c:pt>
                <c:pt idx="58">
                  <c:v>2.2383838383838301</c:v>
                </c:pt>
                <c:pt idx="59">
                  <c:v>2.2676767676767602</c:v>
                </c:pt>
                <c:pt idx="60">
                  <c:v>2.2969696969696898</c:v>
                </c:pt>
                <c:pt idx="61">
                  <c:v>2.3262626262626198</c:v>
                </c:pt>
                <c:pt idx="62">
                  <c:v>2.3555555555555499</c:v>
                </c:pt>
                <c:pt idx="63">
                  <c:v>2.3848484848484799</c:v>
                </c:pt>
              </c:numCache>
            </c:numRef>
          </c:xVal>
          <c:yVal>
            <c:numRef>
              <c:f>'60000'!$AF$41:$AF$104</c:f>
              <c:numCache>
                <c:formatCode>General</c:formatCode>
                <c:ptCount val="64"/>
                <c:pt idx="0">
                  <c:v>12986175.327368854</c:v>
                </c:pt>
                <c:pt idx="1">
                  <c:v>13811114.548409529</c:v>
                </c:pt>
                <c:pt idx="2">
                  <c:v>14655359.448126046</c:v>
                </c:pt>
                <c:pt idx="3">
                  <c:v>15519751.857067417</c:v>
                </c:pt>
                <c:pt idx="4">
                  <c:v>16405086.25584048</c:v>
                </c:pt>
                <c:pt idx="5">
                  <c:v>17312104.424996506</c:v>
                </c:pt>
                <c:pt idx="6">
                  <c:v>18241489.492760062</c:v>
                </c:pt>
                <c:pt idx="7">
                  <c:v>19193859.353478905</c:v>
                </c:pt>
                <c:pt idx="8">
                  <c:v>20169759.42686766</c:v>
                </c:pt>
                <c:pt idx="9">
                  <c:v>21169654.72565731</c:v>
                </c:pt>
                <c:pt idx="10">
                  <c:v>22193921.197050098</c:v>
                </c:pt>
                <c:pt idx="11">
                  <c:v>23242836.301340595</c:v>
                </c:pt>
                <c:pt idx="12">
                  <c:v>24316568.789153747</c:v>
                </c:pt>
                <c:pt idx="13">
                  <c:v>25415167.636930712</c:v>
                </c:pt>
                <c:pt idx="14">
                  <c:v>26538550.098538112</c:v>
                </c:pt>
                <c:pt idx="15">
                  <c:v>27686488.829169001</c:v>
                </c:pt>
                <c:pt idx="16">
                  <c:v>28858598.036028877</c:v>
                </c:pt>
                <c:pt idx="17">
                  <c:v>30054318.608650628</c:v>
                </c:pt>
                <c:pt idx="18">
                  <c:v>31272902.180038378</c:v>
                </c:pt>
                <c:pt idx="19">
                  <c:v>32513394.068227004</c:v>
                </c:pt>
                <c:pt idx="20">
                  <c:v>33774615.046210334</c:v>
                </c:pt>
                <c:pt idx="21">
                  <c:v>35055141.886581704</c:v>
                </c:pt>
                <c:pt idx="22">
                  <c:v>36353286.625610374</c:v>
                </c:pt>
                <c:pt idx="23">
                  <c:v>37667074.489859261</c:v>
                </c:pt>
                <c:pt idx="24">
                  <c:v>38994220.426829025</c:v>
                </c:pt>
                <c:pt idx="25">
                  <c:v>40332104.179489829</c:v>
                </c:pt>
                <c:pt idx="26">
                  <c:v>41677743.842933543</c:v>
                </c:pt>
                <c:pt idx="27">
                  <c:v>43027767.839747995</c:v>
                </c:pt>
                <c:pt idx="28">
                  <c:v>44378385.249078073</c:v>
                </c:pt>
                <c:pt idx="29">
                  <c:v>45725354.422696434</c:v>
                </c:pt>
                <c:pt idx="30">
                  <c:v>47063949.819764845</c:v>
                </c:pt>
                <c:pt idx="31">
                  <c:v>48388926.990305603</c:v>
                </c:pt>
                <c:pt idx="32">
                  <c:v>49694485.635764495</c:v>
                </c:pt>
                <c:pt idx="33">
                  <c:v>50974230.673369668</c:v>
                </c:pt>
                <c:pt idx="34">
                  <c:v>52221131.229336306</c:v>
                </c:pt>
                <c:pt idx="35">
                  <c:v>53427477.484294772</c:v>
                </c:pt>
                <c:pt idx="36">
                  <c:v>54584835.292646602</c:v>
                </c:pt>
                <c:pt idx="37">
                  <c:v>55683998.495875224</c:v>
                </c:pt>
                <c:pt idx="38">
                  <c:v>56714938.848156698</c:v>
                </c:pt>
                <c:pt idx="39">
                  <c:v>57666753.470929056</c:v>
                </c:pt>
                <c:pt idx="40">
                  <c:v>58527609.751390524</c:v>
                </c:pt>
                <c:pt idx="41">
                  <c:v>59284687.598200642</c:v>
                </c:pt>
                <c:pt idx="42">
                  <c:v>59924118.965963677</c:v>
                </c:pt>
                <c:pt idx="43">
                  <c:v>60430924.558370903</c:v>
                </c:pt>
                <c:pt idx="44">
                  <c:v>60788947.618173771</c:v>
                </c:pt>
                <c:pt idx="45">
                  <c:v>60980784.710450627</c:v>
                </c:pt>
                <c:pt idx="46">
                  <c:v>60987713.403921291</c:v>
                </c:pt>
                <c:pt idx="47">
                  <c:v>60789616.753344454</c:v>
                </c:pt>
                <c:pt idx="48">
                  <c:v>60364904.4843162</c:v>
                </c:pt>
                <c:pt idx="49">
                  <c:v>59690430.780066438</c:v>
                </c:pt>
                <c:pt idx="50">
                  <c:v>58741408.568123698</c:v>
                </c:pt>
                <c:pt idx="51">
                  <c:v>57491320.202991135</c:v>
                </c:pt>
                <c:pt idx="52">
                  <c:v>55911824.439244248</c:v>
                </c:pt>
                <c:pt idx="53">
                  <c:v>53972659.587727301</c:v>
                </c:pt>
                <c:pt idx="54">
                  <c:v>51641542.745783947</c:v>
                </c:pt>
                <c:pt idx="55">
                  <c:v>48884064.990722872</c:v>
                </c:pt>
                <c:pt idx="56">
                  <c:v>45663582.423966974</c:v>
                </c:pt>
                <c:pt idx="57">
                  <c:v>41941102.95159521</c:v>
                </c:pt>
                <c:pt idx="58">
                  <c:v>37675168.68522343</c:v>
                </c:pt>
                <c:pt idx="59">
                  <c:v>32821733.845443975</c:v>
                </c:pt>
                <c:pt idx="60">
                  <c:v>27334038.048245348</c:v>
                </c:pt>
                <c:pt idx="61">
                  <c:v>21162474.853113018</c:v>
                </c:pt>
                <c:pt idx="62">
                  <c:v>14254455.449730508</c:v>
                </c:pt>
                <c:pt idx="63">
                  <c:v>6554267.3584331181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E0-4C5B-96AC-2229ABA1D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604144"/>
        <c:axId val="1576602224"/>
      </c:scatterChart>
      <c:valAx>
        <c:axId val="157660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02224"/>
        <c:crosses val="autoZero"/>
        <c:crossBetween val="midCat"/>
      </c:valAx>
      <c:valAx>
        <c:axId val="15766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(lbf*ft/sec)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0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Specific Excess Power (wet, dry) vs Mach @ 35k 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'60000'!$AI$25</c:f>
              <c:strCache>
                <c:ptCount val="1"/>
                <c:pt idx="0">
                  <c:v>Dry (ft/s)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'60000'!$AI$26:$AI$125</c:f>
              <c:numCache>
                <c:formatCode>General</c:formatCode>
                <c:ptCount val="100"/>
                <c:pt idx="0">
                  <c:v>-7913.000294518466</c:v>
                </c:pt>
                <c:pt idx="1">
                  <c:v>-6091.51469178966</c:v>
                </c:pt>
                <c:pt idx="2">
                  <c:v>-4937.2037690155639</c:v>
                </c:pt>
                <c:pt idx="3">
                  <c:v>-4138.0664974839265</c:v>
                </c:pt>
                <c:pt idx="4">
                  <c:v>-3550.4291217586483</c:v>
                </c:pt>
                <c:pt idx="5">
                  <c:v>-3098.9149109835412</c:v>
                </c:pt>
                <c:pt idx="6">
                  <c:v>-2740.1693525193473</c:v>
                </c:pt>
                <c:pt idx="7">
                  <c:v>-2447.4853133663237</c:v>
                </c:pt>
                <c:pt idx="8">
                  <c:v>-2203.5103685643762</c:v>
                </c:pt>
                <c:pt idx="9">
                  <c:v>-1996.478856079191</c:v>
                </c:pt>
                <c:pt idx="10">
                  <c:v>-1708.8177699390708</c:v>
                </c:pt>
                <c:pt idx="11">
                  <c:v>-1545.5594188583862</c:v>
                </c:pt>
                <c:pt idx="12">
                  <c:v>-1400.7382597553208</c:v>
                </c:pt>
                <c:pt idx="13">
                  <c:v>-1271.0275248914338</c:v>
                </c:pt>
                <c:pt idx="14">
                  <c:v>-1153.8696646526</c:v>
                </c:pt>
                <c:pt idx="15">
                  <c:v>-1047.2684273483774</c:v>
                </c:pt>
                <c:pt idx="16">
                  <c:v>-949.64529105377812</c:v>
                </c:pt>
                <c:pt idx="17">
                  <c:v>-859.73819142233901</c:v>
                </c:pt>
                <c:pt idx="18">
                  <c:v>-776.52873002488877</c:v>
                </c:pt>
                <c:pt idx="19">
                  <c:v>-699.18897950633425</c:v>
                </c:pt>
                <c:pt idx="20">
                  <c:v>-627.04203792540648</c:v>
                </c:pt>
                <c:pt idx="21">
                  <c:v>-559.53240152408716</c:v>
                </c:pt>
                <c:pt idx="22">
                  <c:v>-496.20346325256952</c:v>
                </c:pt>
                <c:pt idx="23">
                  <c:v>-436.68026064090293</c:v>
                </c:pt>
                <c:pt idx="24">
                  <c:v>-380.65614493039612</c:v>
                </c:pt>
                <c:pt idx="25">
                  <c:v>-327.88241805761658</c:v>
                </c:pt>
                <c:pt idx="26">
                  <c:v>-278.16024415685973</c:v>
                </c:pt>
                <c:pt idx="27">
                  <c:v>-231.3343253964625</c:v>
                </c:pt>
                <c:pt idx="28">
                  <c:v>-130.31830692386151</c:v>
                </c:pt>
                <c:pt idx="29">
                  <c:v>-22.620859163891428</c:v>
                </c:pt>
                <c:pt idx="30">
                  <c:v>91.696525728110586</c:v>
                </c:pt>
                <c:pt idx="31">
                  <c:v>212.54524006183271</c:v>
                </c:pt>
                <c:pt idx="32">
                  <c:v>339.82449980532061</c:v>
                </c:pt>
                <c:pt idx="33">
                  <c:v>473.40450253014365</c:v>
                </c:pt>
                <c:pt idx="34">
                  <c:v>511.99348319795257</c:v>
                </c:pt>
                <c:pt idx="35">
                  <c:v>524.89014099810254</c:v>
                </c:pt>
                <c:pt idx="36">
                  <c:v>529.85605690242676</c:v>
                </c:pt>
                <c:pt idx="37">
                  <c:v>530.48150572776399</c:v>
                </c:pt>
                <c:pt idx="38">
                  <c:v>527.78639467944458</c:v>
                </c:pt>
                <c:pt idx="39">
                  <c:v>522.03017057062698</c:v>
                </c:pt>
                <c:pt idx="40">
                  <c:v>513.1759845623352</c:v>
                </c:pt>
                <c:pt idx="41">
                  <c:v>501.04490943922065</c:v>
                </c:pt>
                <c:pt idx="42">
                  <c:v>448.29693167194876</c:v>
                </c:pt>
                <c:pt idx="43">
                  <c:v>427.26925062939097</c:v>
                </c:pt>
                <c:pt idx="44">
                  <c:v>401.74920300414306</c:v>
                </c:pt>
                <c:pt idx="45">
                  <c:v>371.45290618025996</c:v>
                </c:pt>
                <c:pt idx="46">
                  <c:v>335.97415214359683</c:v>
                </c:pt>
                <c:pt idx="47">
                  <c:v>294.84689178919496</c:v>
                </c:pt>
                <c:pt idx="48">
                  <c:v>247.55658345484346</c:v>
                </c:pt>
                <c:pt idx="49">
                  <c:v>193.54235009295633</c:v>
                </c:pt>
                <c:pt idx="50">
                  <c:v>132.196279030932</c:v>
                </c:pt>
                <c:pt idx="51">
                  <c:v>62.861510713640342</c:v>
                </c:pt>
                <c:pt idx="52">
                  <c:v>-15.170318180063491</c:v>
                </c:pt>
                <c:pt idx="53">
                  <c:v>-102.66204688390718</c:v>
                </c:pt>
                <c:pt idx="54">
                  <c:v>-200.43427355190079</c:v>
                </c:pt>
                <c:pt idx="55">
                  <c:v>-309.36889906927257</c:v>
                </c:pt>
                <c:pt idx="56">
                  <c:v>-430.41290761071895</c:v>
                </c:pt>
                <c:pt idx="57">
                  <c:v>-564.58237336803597</c:v>
                </c:pt>
                <c:pt idx="58">
                  <c:v>-712.96669032521686</c:v>
                </c:pt>
                <c:pt idx="59">
                  <c:v>-876.73302632423599</c:v>
                </c:pt>
                <c:pt idx="60">
                  <c:v>-1057.1310053432685</c:v>
                </c:pt>
                <c:pt idx="61">
                  <c:v>-1255.4976236417613</c:v>
                </c:pt>
                <c:pt idx="62">
                  <c:v>-1473.2624065935931</c:v>
                </c:pt>
                <c:pt idx="63">
                  <c:v>-1711.9528138651033</c:v>
                </c:pt>
                <c:pt idx="64">
                  <c:v>-1973.1999012166266</c:v>
                </c:pt>
                <c:pt idx="65">
                  <c:v>-2258.7442476987421</c:v>
                </c:pt>
                <c:pt idx="66">
                  <c:v>-2570.442157421955</c:v>
                </c:pt>
                <c:pt idx="67">
                  <c:v>-2910.2721454337329</c:v>
                </c:pt>
                <c:pt idx="68">
                  <c:v>-3280.3417175534278</c:v>
                </c:pt>
                <c:pt idx="69">
                  <c:v>-3682.8944543145144</c:v>
                </c:pt>
                <c:pt idx="70">
                  <c:v>-4120.3174094458827</c:v>
                </c:pt>
                <c:pt idx="71">
                  <c:v>-4595.1488335938593</c:v>
                </c:pt>
                <c:pt idx="72">
                  <c:v>-5110.0862342604714</c:v>
                </c:pt>
                <c:pt idx="73">
                  <c:v>-5667.9947831960644</c:v>
                </c:pt>
                <c:pt idx="74">
                  <c:v>-6271.9160827499427</c:v>
                </c:pt>
                <c:pt idx="75">
                  <c:v>-6925.0773029493075</c:v>
                </c:pt>
                <c:pt idx="76">
                  <c:v>-7630.9007013454011</c:v>
                </c:pt>
                <c:pt idx="77">
                  <c:v>-8393.0135379293552</c:v>
                </c:pt>
                <c:pt idx="78">
                  <c:v>-9215.2583976982078</c:v>
                </c:pt>
                <c:pt idx="79">
                  <c:v>-10101.703933720768</c:v>
                </c:pt>
                <c:pt idx="80">
                  <c:v>-11056.656043830209</c:v>
                </c:pt>
                <c:pt idx="81">
                  <c:v>-12084.669494351929</c:v>
                </c:pt>
                <c:pt idx="82">
                  <c:v>-13190.560004553536</c:v>
                </c:pt>
                <c:pt idx="83">
                  <c:v>-14379.41680579593</c:v>
                </c:pt>
                <c:pt idx="84">
                  <c:v>-15656.615689642813</c:v>
                </c:pt>
                <c:pt idx="85">
                  <c:v>-17027.832559490063</c:v>
                </c:pt>
                <c:pt idx="86">
                  <c:v>-18499.057500560502</c:v>
                </c:pt>
                <c:pt idx="87">
                  <c:v>-20076.609383415846</c:v>
                </c:pt>
                <c:pt idx="88">
                  <c:v>-21767.151016429165</c:v>
                </c:pt>
                <c:pt idx="89">
                  <c:v>-23577.704862979528</c:v>
                </c:pt>
                <c:pt idx="90">
                  <c:v>-25515.669339423745</c:v>
                </c:pt>
                <c:pt idx="91">
                  <c:v>-27588.835710220206</c:v>
                </c:pt>
                <c:pt idx="92">
                  <c:v>-29805.405596891233</c:v>
                </c:pt>
                <c:pt idx="93">
                  <c:v>-32174.009117824698</c:v>
                </c:pt>
                <c:pt idx="94">
                  <c:v>-34703.723676241148</c:v>
                </c:pt>
                <c:pt idx="95">
                  <c:v>-37404.093413970739</c:v>
                </c:pt>
                <c:pt idx="96">
                  <c:v>-40285.14934901685</c:v>
                </c:pt>
                <c:pt idx="97">
                  <c:v>-43357.430215206543</c:v>
                </c:pt>
                <c:pt idx="98">
                  <c:v>-46632.004022566172</c:v>
                </c:pt>
                <c:pt idx="99">
                  <c:v>-50120.490357393654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BE6-938F-3B388EA824EA}"/>
            </c:ext>
          </c:extLst>
        </c:ser>
        <c:ser>
          <c:idx val="1"/>
          <c:order val="1"/>
          <c:tx>
            <c:strRef>
              <c:f>'60000'!$AJ$25</c:f>
              <c:strCache>
                <c:ptCount val="1"/>
                <c:pt idx="0">
                  <c:v>Wet (ft/s)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'60000'!$AJ$26:$AJ$125</c:f>
              <c:numCache>
                <c:formatCode>General</c:formatCode>
                <c:ptCount val="100"/>
                <c:pt idx="0">
                  <c:v>-7903.8146648475922</c:v>
                </c:pt>
                <c:pt idx="1">
                  <c:v>-6079.3410963554916</c:v>
                </c:pt>
                <c:pt idx="2">
                  <c:v>-4921.8406495110103</c:v>
                </c:pt>
                <c:pt idx="3">
                  <c:v>-4119.2870942193395</c:v>
                </c:pt>
                <c:pt idx="4">
                  <c:v>-3527.9824168214072</c:v>
                </c:pt>
                <c:pt idx="5">
                  <c:v>-3072.5255098414991</c:v>
                </c:pt>
                <c:pt idx="6">
                  <c:v>-2709.5367090139252</c:v>
                </c:pt>
                <c:pt idx="7">
                  <c:v>-2412.2824957118296</c:v>
                </c:pt>
                <c:pt idx="8">
                  <c:v>-2163.3824702575312</c:v>
                </c:pt>
                <c:pt idx="9">
                  <c:v>-1951.0411081990571</c:v>
                </c:pt>
                <c:pt idx="10">
                  <c:v>-1598.978824715761</c:v>
                </c:pt>
                <c:pt idx="11">
                  <c:v>-1425.4537344984872</c:v>
                </c:pt>
                <c:pt idx="12">
                  <c:v>-1269.9609862544539</c:v>
                </c:pt>
                <c:pt idx="13">
                  <c:v>-1129.1475750107638</c:v>
                </c:pt>
                <c:pt idx="14">
                  <c:v>-1000.4283210196548</c:v>
                </c:pt>
                <c:pt idx="15">
                  <c:v>-881.77785355069568</c:v>
                </c:pt>
                <c:pt idx="16">
                  <c:v>-771.58694476741834</c:v>
                </c:pt>
                <c:pt idx="17">
                  <c:v>-668.56113602380537</c:v>
                </c:pt>
                <c:pt idx="18">
                  <c:v>-571.64783985362783</c:v>
                </c:pt>
                <c:pt idx="19">
                  <c:v>-479.98303286671626</c:v>
                </c:pt>
                <c:pt idx="20">
                  <c:v>-392.85169096923011</c:v>
                </c:pt>
                <c:pt idx="21">
                  <c:v>-309.65803528727776</c:v>
                </c:pt>
                <c:pt idx="22">
                  <c:v>-229.90289529791534</c:v>
                </c:pt>
                <c:pt idx="23">
                  <c:v>-153.16631195720089</c:v>
                </c:pt>
                <c:pt idx="24">
                  <c:v>-79.094051938798245</c:v>
                </c:pt>
                <c:pt idx="25">
                  <c:v>-7.387078764274615</c:v>
                </c:pt>
                <c:pt idx="26">
                  <c:v>62.206713343553076</c:v>
                </c:pt>
                <c:pt idx="27">
                  <c:v>129.89901393478715</c:v>
                </c:pt>
                <c:pt idx="28">
                  <c:v>252.83589526350929</c:v>
                </c:pt>
                <c:pt idx="29">
                  <c:v>383.57194837963794</c:v>
                </c:pt>
                <c:pt idx="30">
                  <c:v>522.11272057750227</c:v>
                </c:pt>
                <c:pt idx="31">
                  <c:v>668.44067205551016</c:v>
                </c:pt>
                <c:pt idx="32">
                  <c:v>822.53038324439262</c:v>
                </c:pt>
                <c:pt idx="33">
                  <c:v>984.33199972712237</c:v>
                </c:pt>
                <c:pt idx="34">
                  <c:v>1052.638595073648</c:v>
                </c:pt>
                <c:pt idx="35">
                  <c:v>1096.8389261008192</c:v>
                </c:pt>
                <c:pt idx="36">
                  <c:v>1134.7902015948716</c:v>
                </c:pt>
                <c:pt idx="37">
                  <c:v>1170.1842697316572</c:v>
                </c:pt>
                <c:pt idx="38">
                  <c:v>1204.1489576885983</c:v>
                </c:pt>
                <c:pt idx="39">
                  <c:v>1237.0584072430786</c:v>
                </c:pt>
                <c:pt idx="40">
                  <c:v>1268.997696883727</c:v>
                </c:pt>
                <c:pt idx="41">
                  <c:v>1299.9175472157895</c:v>
                </c:pt>
                <c:pt idx="42">
                  <c:v>1292.6158337649863</c:v>
                </c:pt>
                <c:pt idx="43">
                  <c:v>1319.5764414865862</c:v>
                </c:pt>
                <c:pt idx="44">
                  <c:v>1344.7427810795502</c:v>
                </c:pt>
                <c:pt idx="45">
                  <c:v>1367.9970629666711</c:v>
                </c:pt>
                <c:pt idx="46">
                  <c:v>1389.1098627710494</c:v>
                </c:pt>
                <c:pt idx="47">
                  <c:v>1407.8033204750029</c:v>
                </c:pt>
                <c:pt idx="48">
                  <c:v>1423.7632495254284</c:v>
                </c:pt>
                <c:pt idx="49">
                  <c:v>1436.6421028396283</c:v>
                </c:pt>
                <c:pt idx="50">
                  <c:v>1446.0591323129649</c:v>
                </c:pt>
                <c:pt idx="51">
                  <c:v>1451.5993909853996</c:v>
                </c:pt>
                <c:pt idx="52">
                  <c:v>1452.8121461372789</c:v>
                </c:pt>
                <c:pt idx="53">
                  <c:v>1449.2089366735904</c:v>
                </c:pt>
                <c:pt idx="54">
                  <c:v>1440.261382315636</c:v>
                </c:pt>
                <c:pt idx="55">
                  <c:v>1425.3987978986077</c:v>
                </c:pt>
                <c:pt idx="56">
                  <c:v>1404.0056401978945</c:v>
                </c:pt>
                <c:pt idx="57">
                  <c:v>1375.4188013582732</c:v>
                </c:pt>
                <c:pt idx="58">
                  <c:v>1338.924755676205</c:v>
                </c:pt>
                <c:pt idx="59">
                  <c:v>1293.7565622555271</c:v>
                </c:pt>
                <c:pt idx="60">
                  <c:v>1239.0907235154716</c:v>
                </c:pt>
                <c:pt idx="61">
                  <c:v>1174.0438979393252</c:v>
                </c:pt>
                <c:pt idx="62">
                  <c:v>1097.6694644276208</c:v>
                </c:pt>
                <c:pt idx="63">
                  <c:v>1008.9539349315359</c:v>
                </c:pt>
                <c:pt idx="64">
                  <c:v>906.81321156962974</c:v>
                </c:pt>
                <c:pt idx="65">
                  <c:v>790.08868409085176</c:v>
                </c:pt>
                <c:pt idx="66">
                  <c:v>657.54316329463938</c:v>
                </c:pt>
                <c:pt idx="67">
                  <c:v>507.85664582194892</c:v>
                </c:pt>
                <c:pt idx="68">
                  <c:v>339.62190557572973</c:v>
                </c:pt>
                <c:pt idx="69">
                  <c:v>151.33990689442746</c:v>
                </c:pt>
                <c:pt idx="70">
                  <c:v>-58.584965512890747</c:v>
                </c:pt>
                <c:pt idx="71">
                  <c:v>-291.84986496131404</c:v>
                </c:pt>
                <c:pt idx="72">
                  <c:v>-550.25863470723016</c:v>
                </c:pt>
                <c:pt idx="73">
                  <c:v>-835.72715866616534</c:v>
                </c:pt>
                <c:pt idx="74">
                  <c:v>-1150.2889162983986</c:v>
                </c:pt>
                <c:pt idx="75">
                  <c:v>-1496.100747111107</c:v>
                </c:pt>
                <c:pt idx="76">
                  <c:v>-1875.4488303124938</c:v>
                </c:pt>
                <c:pt idx="77">
                  <c:v>-2290.7548852276796</c:v>
                </c:pt>
                <c:pt idx="78">
                  <c:v>-2744.5825981736289</c:v>
                </c:pt>
                <c:pt idx="79">
                  <c:v>-3239.6442815662017</c:v>
                </c:pt>
                <c:pt idx="80">
                  <c:v>-3778.8077711125907</c:v>
                </c:pt>
                <c:pt idx="81">
                  <c:v>-4365.1035670248111</c:v>
                </c:pt>
                <c:pt idx="82">
                  <c:v>-5001.732225265202</c:v>
                </c:pt>
                <c:pt idx="83">
                  <c:v>-5692.0720049219335</c:v>
                </c:pt>
                <c:pt idx="84">
                  <c:v>-6439.6867778817732</c:v>
                </c:pt>
                <c:pt idx="85">
                  <c:v>-7248.3342070605058</c:v>
                </c:pt>
                <c:pt idx="86">
                  <c:v>-8121.9741995206559</c:v>
                </c:pt>
                <c:pt idx="87">
                  <c:v>-9064.7776408938316</c:v>
                </c:pt>
                <c:pt idx="88">
                  <c:v>-10081.135417600415</c:v>
                </c:pt>
                <c:pt idx="89">
                  <c:v>-11175.667733446615</c:v>
                </c:pt>
                <c:pt idx="90">
                  <c:v>-12353.233727253433</c:v>
                </c:pt>
                <c:pt idx="91">
                  <c:v>-13618.941398258021</c:v>
                </c:pt>
                <c:pt idx="92">
                  <c:v>-14978.157846108541</c:v>
                </c:pt>
                <c:pt idx="93">
                  <c:v>-16436.519832352227</c:v>
                </c:pt>
                <c:pt idx="94">
                  <c:v>-17999.94467040354</c:v>
                </c:pt>
                <c:pt idx="95">
                  <c:v>-19674.641451056235</c:v>
                </c:pt>
                <c:pt idx="96">
                  <c:v>-21467.122610690363</c:v>
                </c:pt>
                <c:pt idx="97">
                  <c:v>-23384.215849402779</c:v>
                </c:pt>
                <c:pt idx="98">
                  <c:v>-25433.07640637576</c:v>
                </c:pt>
                <c:pt idx="99">
                  <c:v>-27621.19969987946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BE6-938F-3B388EA82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065464"/>
        <c:axId val="1172923312"/>
      </c:scatterChart>
      <c:valAx>
        <c:axId val="100606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23312"/>
        <c:crosses val="autoZero"/>
        <c:crossBetween val="midCat"/>
      </c:valAx>
      <c:valAx>
        <c:axId val="11729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P_s (ft/s)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65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Sink rate (ft/s) vs 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'60000'!$AP$25</c:f>
              <c:strCache>
                <c:ptCount val="1"/>
                <c:pt idx="0">
                  <c:v>Sink rate (ft/s)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'60000'!$AP$26:$AP$125</c:f>
              <c:numCache>
                <c:formatCode>General</c:formatCode>
                <c:ptCount val="100"/>
                <c:pt idx="0">
                  <c:v>96.50009176386466</c:v>
                </c:pt>
                <c:pt idx="1">
                  <c:v>124.06263470021139</c:v>
                </c:pt>
                <c:pt idx="2">
                  <c:v>150.5081135917068</c:v>
                </c:pt>
                <c:pt idx="3">
                  <c:v>175.0288308067197</c:v>
                </c:pt>
                <c:pt idx="4">
                  <c:v>196.67076000493813</c:v>
                </c:pt>
                <c:pt idx="5">
                  <c:v>214.51244390735116</c:v>
                </c:pt>
                <c:pt idx="6">
                  <c:v>227.88994771363775</c:v>
                </c:pt>
                <c:pt idx="7">
                  <c:v>236.57323760279584</c:v>
                </c:pt>
                <c:pt idx="8">
                  <c:v>240.80919577551609</c:v>
                </c:pt>
                <c:pt idx="9">
                  <c:v>241.22033205939132</c:v>
                </c:pt>
                <c:pt idx="10">
                  <c:v>238.6247817679216</c:v>
                </c:pt>
                <c:pt idx="11">
                  <c:v>233.86268335484365</c:v>
                </c:pt>
                <c:pt idx="12">
                  <c:v>227.68013373018812</c:v>
                </c:pt>
                <c:pt idx="13">
                  <c:v>220.67772515225693</c:v>
                </c:pt>
                <c:pt idx="14">
                  <c:v>213.3056805339568</c:v>
                </c:pt>
                <c:pt idx="15">
                  <c:v>205.88336779448582</c:v>
                </c:pt>
                <c:pt idx="16">
                  <c:v>198.6268819321528</c:v>
                </c:pt>
                <c:pt idx="17">
                  <c:v>191.67575495480685</c:v>
                </c:pt>
                <c:pt idx="18">
                  <c:v>185.11516618373935</c:v>
                </c:pt>
                <c:pt idx="19">
                  <c:v>178.99295513400691</c:v>
                </c:pt>
                <c:pt idx="20">
                  <c:v>173.33201900183758</c:v>
                </c:pt>
                <c:pt idx="21">
                  <c:v>168.13905702664951</c:v>
                </c:pt>
                <c:pt idx="22">
                  <c:v>163.41059889055509</c:v>
                </c:pt>
                <c:pt idx="23">
                  <c:v>159.13708833795039</c:v>
                </c:pt>
                <c:pt idx="24">
                  <c:v>155.30560703064259</c:v>
                </c:pt>
                <c:pt idx="25">
                  <c:v>151.90166266025395</c:v>
                </c:pt>
                <c:pt idx="26">
                  <c:v>148.91034035995503</c:v>
                </c:pt>
                <c:pt idx="27">
                  <c:v>146.31702475673973</c:v>
                </c:pt>
                <c:pt idx="28">
                  <c:v>122.34017308041128</c:v>
                </c:pt>
                <c:pt idx="29">
                  <c:v>112.75872699580712</c:v>
                </c:pt>
                <c:pt idx="30">
                  <c:v>105.00891556088986</c:v>
                </c:pt>
                <c:pt idx="31">
                  <c:v>98.613926538124076</c:v>
                </c:pt>
                <c:pt idx="32">
                  <c:v>93.248515873625735</c:v>
                </c:pt>
                <c:pt idx="33">
                  <c:v>66.434616422692983</c:v>
                </c:pt>
                <c:pt idx="34">
                  <c:v>64.640038582070957</c:v>
                </c:pt>
                <c:pt idx="35">
                  <c:v>66.634954794304292</c:v>
                </c:pt>
                <c:pt idx="36">
                  <c:v>69.708165016382878</c:v>
                </c:pt>
                <c:pt idx="37">
                  <c:v>73.289017713693795</c:v>
                </c:pt>
                <c:pt idx="38">
                  <c:v>77.192992397141296</c:v>
                </c:pt>
                <c:pt idx="39">
                  <c:v>81.347538644145672</c:v>
                </c:pt>
                <c:pt idx="40">
                  <c:v>85.72155593118444</c:v>
                </c:pt>
                <c:pt idx="41">
                  <c:v>90.301782576013039</c:v>
                </c:pt>
                <c:pt idx="42">
                  <c:v>100.67716023789907</c:v>
                </c:pt>
                <c:pt idx="43">
                  <c:v>105.883536924607</c:v>
                </c:pt>
                <c:pt idx="44">
                  <c:v>111.3336016594853</c:v>
                </c:pt>
                <c:pt idx="45">
                  <c:v>117.01238345171612</c:v>
                </c:pt>
                <c:pt idx="46">
                  <c:v>122.91817101818744</c:v>
                </c:pt>
                <c:pt idx="47">
                  <c:v>129.05271976773685</c:v>
                </c:pt>
                <c:pt idx="48">
                  <c:v>135.41915478587643</c:v>
                </c:pt>
                <c:pt idx="49">
                  <c:v>142.02123966897759</c:v>
                </c:pt>
                <c:pt idx="50">
                  <c:v>148.86305429837924</c:v>
                </c:pt>
                <c:pt idx="51">
                  <c:v>155.94883205414169</c:v>
                </c:pt>
                <c:pt idx="52">
                  <c:v>163.28287011287873</c:v>
                </c:pt>
                <c:pt idx="53">
                  <c:v>170.86947702631474</c:v>
                </c:pt>
                <c:pt idx="54">
                  <c:v>178.71294076836932</c:v>
                </c:pt>
                <c:pt idx="55">
                  <c:v>186.81750861621859</c:v>
                </c:pt>
                <c:pt idx="56">
                  <c:v>195.18737412797236</c:v>
                </c:pt>
                <c:pt idx="57">
                  <c:v>203.82666848478382</c:v>
                </c:pt>
                <c:pt idx="58">
                  <c:v>212.73945456024424</c:v>
                </c:pt>
                <c:pt idx="59">
                  <c:v>221.92972270749675</c:v>
                </c:pt>
                <c:pt idx="60">
                  <c:v>231.40138762693647</c:v>
                </c:pt>
                <c:pt idx="61">
                  <c:v>241.15828590613395</c:v>
                </c:pt>
                <c:pt idx="62">
                  <c:v>251.20417396676936</c:v>
                </c:pt>
                <c:pt idx="63">
                  <c:v>261.54272624572008</c:v>
                </c:pt>
                <c:pt idx="64">
                  <c:v>272.17753349718726</c:v>
                </c:pt>
                <c:pt idx="65">
                  <c:v>283.11210114245085</c:v>
                </c:pt>
                <c:pt idx="66">
                  <c:v>294.3498476202397</c:v>
                </c:pt>
                <c:pt idx="67">
                  <c:v>305.89410270872264</c:v>
                </c:pt>
                <c:pt idx="68">
                  <c:v>317.74810580187028</c:v>
                </c:pt>
                <c:pt idx="69">
                  <c:v>329.9150041315163</c:v>
                </c:pt>
                <c:pt idx="70">
                  <c:v>342.39785093207223</c:v>
                </c:pt>
                <c:pt idx="71">
                  <c:v>355.19960354812798</c:v>
                </c:pt>
                <c:pt idx="72">
                  <c:v>368.32312148860791</c:v>
                </c:pt>
                <c:pt idx="73">
                  <c:v>381.77116443220496</c:v>
                </c:pt>
                <c:pt idx="74">
                  <c:v>395.54639019050552</c:v>
                </c:pt>
                <c:pt idx="75">
                  <c:v>409.65135263537974</c:v>
                </c:pt>
                <c:pt idx="76">
                  <c:v>424.08849959860936</c:v>
                </c:pt>
                <c:pt idx="77">
                  <c:v>438.86017075090149</c:v>
                </c:pt>
                <c:pt idx="78">
                  <c:v>453.96859546861339</c:v>
                </c:pt>
                <c:pt idx="79">
                  <c:v>469.41589069604686</c:v>
                </c:pt>
                <c:pt idx="80">
                  <c:v>485.20405881113618</c:v>
                </c:pt>
                <c:pt idx="81">
                  <c:v>501.33498550278119</c:v>
                </c:pt>
                <c:pt idx="82">
                  <c:v>517.81043766731727</c:v>
                </c:pt>
                <c:pt idx="83">
                  <c:v>534.63206133258223</c:v>
                </c:pt>
                <c:pt idx="84">
                  <c:v>551.801379616399</c:v>
                </c:pt>
                <c:pt idx="85">
                  <c:v>569.31979072805018</c:v>
                </c:pt>
                <c:pt idx="86">
                  <c:v>587.1885660196441</c:v>
                </c:pt>
                <c:pt idx="87">
                  <c:v>605.40884809491013</c:v>
                </c:pt>
                <c:pt idx="88">
                  <c:v>623.98164898287939</c:v>
                </c:pt>
                <c:pt idx="89">
                  <c:v>642.90784838331501</c:v>
                </c:pt>
                <c:pt idx="90">
                  <c:v>662.18819199105269</c:v>
                </c:pt>
                <c:pt idx="91">
                  <c:v>681.82328990604663</c:v>
                </c:pt>
                <c:pt idx="92">
                  <c:v>701.81361513593504</c:v>
                </c:pt>
                <c:pt idx="93">
                  <c:v>722.1595021972571</c:v>
                </c:pt>
                <c:pt idx="94">
                  <c:v>742.86114582207074</c:v>
                </c:pt>
                <c:pt idx="95">
                  <c:v>763.91859977566105</c:v>
                </c:pt>
                <c:pt idx="96">
                  <c:v>785.33177579166215</c:v>
                </c:pt>
                <c:pt idx="97">
                  <c:v>807.10044262987856</c:v>
                </c:pt>
                <c:pt idx="98">
                  <c:v>829.22422526238302</c:v>
                </c:pt>
                <c:pt idx="99">
                  <c:v>851.70260419298427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C-45BC-BC96-84D089227635}"/>
            </c:ext>
          </c:extLst>
        </c:ser>
        <c:ser>
          <c:idx val="1"/>
          <c:order val="1"/>
          <c:tx>
            <c:strRef>
              <c:f>'60000'!$AO$25</c:f>
              <c:strCache>
                <c:ptCount val="1"/>
                <c:pt idx="0">
                  <c:v>Vv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'60000'!$AO$26:$AO$125</c:f>
              <c:numCache>
                <c:formatCode>General</c:formatCode>
                <c:ptCount val="100"/>
                <c:pt idx="0">
                  <c:v>1211.4914853565831</c:v>
                </c:pt>
                <c:pt idx="1">
                  <c:v>936.51757256970484</c:v>
                </c:pt>
                <c:pt idx="2">
                  <c:v>763.04775737620503</c:v>
                </c:pt>
                <c:pt idx="3">
                  <c:v>643.61841285160904</c:v>
                </c:pt>
                <c:pt idx="4">
                  <c:v>556.37667625450513</c:v>
                </c:pt>
                <c:pt idx="5">
                  <c:v>489.86093752433186</c:v>
                </c:pt>
                <c:pt idx="6">
                  <c:v>437.48167576956286</c:v>
                </c:pt>
                <c:pt idx="7">
                  <c:v>395.18221115675385</c:v>
                </c:pt>
                <c:pt idx="8">
                  <c:v>360.32915218116318</c:v>
                </c:pt>
                <c:pt idx="9">
                  <c:v>331.13912675658378</c:v>
                </c:pt>
                <c:pt idx="10">
                  <c:v>306.36193693080105</c:v>
                </c:pt>
                <c:pt idx="11">
                  <c:v>285.09560613575957</c:v>
                </c:pt>
                <c:pt idx="12">
                  <c:v>266.67342146787064</c:v>
                </c:pt>
                <c:pt idx="13">
                  <c:v>250.59226723560309</c:v>
                </c:pt>
                <c:pt idx="14">
                  <c:v>236.4656515025527</c:v>
                </c:pt>
                <c:pt idx="15">
                  <c:v>223.99203858839306</c:v>
                </c:pt>
                <c:pt idx="16">
                  <c:v>212.93296868320598</c:v>
                </c:pt>
                <c:pt idx="17">
                  <c:v>203.09760852111643</c:v>
                </c:pt>
                <c:pt idx="18">
                  <c:v>194.33163085068264</c:v>
                </c:pt>
                <c:pt idx="19">
                  <c:v>186.5090707855239</c:v>
                </c:pt>
                <c:pt idx="20">
                  <c:v>179.52626904005913</c:v>
                </c:pt>
                <c:pt idx="21">
                  <c:v>173.29730369205356</c:v>
                </c:pt>
                <c:pt idx="22">
                  <c:v>167.75050047069936</c:v>
                </c:pt>
                <c:pt idx="23">
                  <c:v>162.82573574688053</c:v>
                </c:pt>
                <c:pt idx="24">
                  <c:v>158.47232981236178</c:v>
                </c:pt>
                <c:pt idx="25">
                  <c:v>154.64738502477812</c:v>
                </c:pt>
                <c:pt idx="26">
                  <c:v>151.31446294766928</c:v>
                </c:pt>
                <c:pt idx="27">
                  <c:v>148.44252246288787</c:v>
                </c:pt>
                <c:pt idx="28" formatCode="0.00E+00">
                  <c:v>128.266308333333</c:v>
                </c:pt>
                <c:pt idx="29" formatCode="0.00E+00">
                  <c:v>120.412216666666</c:v>
                </c:pt>
                <c:pt idx="30" formatCode="0.00E+00">
                  <c:v>112.558125</c:v>
                </c:pt>
                <c:pt idx="31" formatCode="0.00E+00">
                  <c:v>104.704033333333</c:v>
                </c:pt>
                <c:pt idx="32">
                  <c:v>96.849941666666595</c:v>
                </c:pt>
                <c:pt idx="33">
                  <c:v>66.560592472810185</c:v>
                </c:pt>
                <c:pt idx="34">
                  <c:v>64.748723019493895</c:v>
                </c:pt>
                <c:pt idx="35">
                  <c:v>66.747996720756134</c:v>
                </c:pt>
                <c:pt idx="36">
                  <c:v>69.831605858362252</c:v>
                </c:pt>
                <c:pt idx="37">
                  <c:v>73.426161866124232</c:v>
                </c:pt>
                <c:pt idx="38">
                  <c:v>77.346406342512708</c:v>
                </c:pt>
                <c:pt idx="39">
                  <c:v>81.519607317386885</c:v>
                </c:pt>
                <c:pt idx="40">
                  <c:v>85.914694880546392</c:v>
                </c:pt>
                <c:pt idx="41">
                  <c:v>90.518539936361492</c:v>
                </c:pt>
                <c:pt idx="42">
                  <c:v>100.96809916527245</c:v>
                </c:pt>
                <c:pt idx="43">
                  <c:v>106.20877329984624</c:v>
                </c:pt>
                <c:pt idx="44">
                  <c:v>111.69720798977319</c:v>
                </c:pt>
                <c:pt idx="45">
                  <c:v>117.41863655371695</c:v>
                </c:pt>
                <c:pt idx="46">
                  <c:v>123.37168798897785</c:v>
                </c:pt>
                <c:pt idx="47">
                  <c:v>129.55851573689759</c:v>
                </c:pt>
                <c:pt idx="48">
                  <c:v>135.98268595830493</c:v>
                </c:pt>
                <c:pt idx="49">
                  <c:v>142.64844259869616</c:v>
                </c:pt>
                <c:pt idx="50">
                  <c:v>149.56038460333994</c:v>
                </c:pt>
                <c:pt idx="51">
                  <c:v>156.72330382252841</c:v>
                </c:pt>
                <c:pt idx="52">
                  <c:v>164.14209659180614</c:v>
                </c:pt>
                <c:pt idx="53">
                  <c:v>171.82171291688579</c:v>
                </c:pt>
                <c:pt idx="54">
                  <c:v>179.76712632780973</c:v>
                </c:pt>
                <c:pt idx="55">
                  <c:v>187.98331570484669</c:v>
                </c:pt>
                <c:pt idx="56">
                  <c:v>196.47525430384161</c:v>
                </c:pt>
                <c:pt idx="57">
                  <c:v>205.24790322800885</c:v>
                </c:pt>
                <c:pt idx="58">
                  <c:v>214.30620769570973</c:v>
                </c:pt>
                <c:pt idx="59">
                  <c:v>223.65509508554592</c:v>
                </c:pt>
                <c:pt idx="60">
                  <c:v>233.29947411494422</c:v>
                </c:pt>
                <c:pt idx="61">
                  <c:v>243.2442347385979</c:v>
                </c:pt>
                <c:pt idx="62">
                  <c:v>253.49424849710601</c:v>
                </c:pt>
                <c:pt idx="63">
                  <c:v>264.05436913898762</c:v>
                </c:pt>
                <c:pt idx="64">
                  <c:v>274.92943339923517</c:v>
                </c:pt>
                <c:pt idx="65">
                  <c:v>286.12426185739139</c:v>
                </c:pt>
                <c:pt idx="66">
                  <c:v>297.64365982454666</c:v>
                </c:pt>
                <c:pt idx="67">
                  <c:v>309.49241822663049</c:v>
                </c:pt>
                <c:pt idx="68">
                  <c:v>321.67531446302507</c:v>
                </c:pt>
                <c:pt idx="69">
                  <c:v>334.19711322800248</c:v>
                </c:pt>
                <c:pt idx="70">
                  <c:v>347.0625672879857</c:v>
                </c:pt>
                <c:pt idx="71">
                  <c:v>360.27641821074877</c:v>
                </c:pt>
                <c:pt idx="72">
                  <c:v>373.84339704599171</c:v>
                </c:pt>
                <c:pt idx="73">
                  <c:v>387.76822495760047</c:v>
                </c:pt>
                <c:pt idx="74">
                  <c:v>402.05561380946057</c:v>
                </c:pt>
                <c:pt idx="75">
                  <c:v>416.7102667066797</c:v>
                </c:pt>
                <c:pt idx="76">
                  <c:v>431.73687849536475</c:v>
                </c:pt>
                <c:pt idx="77">
                  <c:v>447.1401362230846</c:v>
                </c:pt>
                <c:pt idx="78">
                  <c:v>462.92471956323607</c:v>
                </c:pt>
                <c:pt idx="79">
                  <c:v>479.09530120591711</c:v>
                </c:pt>
                <c:pt idx="80">
                  <c:v>495.65654721775218</c:v>
                </c:pt>
                <c:pt idx="81">
                  <c:v>512.61311737346193</c:v>
                </c:pt>
                <c:pt idx="82">
                  <c:v>529.96966546107524</c:v>
                </c:pt>
                <c:pt idx="83">
                  <c:v>547.73083956363052</c:v>
                </c:pt>
                <c:pt idx="84">
                  <c:v>565.90128231840072</c:v>
                </c:pt>
                <c:pt idx="85">
                  <c:v>584.48563115651007</c:v>
                </c:pt>
                <c:pt idx="86">
                  <c:v>603.48851852397775</c:v>
                </c:pt>
                <c:pt idx="87">
                  <c:v>622.91457208589941</c:v>
                </c:pt>
                <c:pt idx="88">
                  <c:v>642.76841491539142</c:v>
                </c:pt>
                <c:pt idx="89">
                  <c:v>663.05466566830648</c:v>
                </c:pt>
                <c:pt idx="90">
                  <c:v>683.77793874508768</c:v>
                </c:pt>
                <c:pt idx="91">
                  <c:v>704.94284444080279</c:v>
                </c:pt>
                <c:pt idx="92">
                  <c:v>726.55398908449683</c:v>
                </c:pt>
                <c:pt idx="93">
                  <c:v>748.61597516836491</c:v>
                </c:pt>
                <c:pt idx="94">
                  <c:v>771.13340146804649</c:v>
                </c:pt>
                <c:pt idx="95">
                  <c:v>794.11086315433454</c:v>
                </c:pt>
                <c:pt idx="96">
                  <c:v>817.55295189745789</c:v>
                </c:pt>
                <c:pt idx="97">
                  <c:v>841.46425596415315</c:v>
                </c:pt>
                <c:pt idx="98">
                  <c:v>865.84936030827566</c:v>
                </c:pt>
                <c:pt idx="99">
                  <c:v>890.71284665540963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C-45BC-BC96-84D089227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491752"/>
        <c:axId val="1174485632"/>
      </c:scatterChart>
      <c:valAx>
        <c:axId val="117449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85632"/>
        <c:crosses val="autoZero"/>
        <c:crossBetween val="midCat"/>
      </c:valAx>
      <c:valAx>
        <c:axId val="11744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Sink rate (ft/s)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91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'60000'!$AB$25</c:f>
              <c:strCache>
                <c:ptCount val="1"/>
                <c:pt idx="0">
                  <c:v>Glide Angle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'60000'!$AB$26:$AB$125</c:f>
              <c:numCache>
                <c:formatCode>General</c:formatCode>
                <c:ptCount val="100"/>
                <c:pt idx="0">
                  <c:v>1.4910722334315678</c:v>
                </c:pt>
                <c:pt idx="1">
                  <c:v>1.4379574584703667</c:v>
                </c:pt>
                <c:pt idx="2">
                  <c:v>1.3722844972048227</c:v>
                </c:pt>
                <c:pt idx="3">
                  <c:v>1.2954333654174726</c:v>
                </c:pt>
                <c:pt idx="4">
                  <c:v>1.2095702062926916</c:v>
                </c:pt>
                <c:pt idx="5">
                  <c:v>1.1176169309989106</c:v>
                </c:pt>
                <c:pt idx="6">
                  <c:v>1.022985484914692</c:v>
                </c:pt>
                <c:pt idx="7">
                  <c:v>0.9291239247361841</c:v>
                </c:pt>
                <c:pt idx="8">
                  <c:v>0.83903178025904235</c:v>
                </c:pt>
                <c:pt idx="9">
                  <c:v>0.75492133448164322</c:v>
                </c:pt>
                <c:pt idx="10">
                  <c:v>0.67811195686255221</c:v>
                </c:pt>
                <c:pt idx="11">
                  <c:v>0.60912586451706807</c:v>
                </c:pt>
                <c:pt idx="12">
                  <c:v>0.54788961607281961</c:v>
                </c:pt>
                <c:pt idx="13">
                  <c:v>0.49395077122987668</c:v>
                </c:pt>
                <c:pt idx="14">
                  <c:v>0.44665751314896335</c:v>
                </c:pt>
                <c:pt idx="15">
                  <c:v>0.40528532723176564</c:v>
                </c:pt>
                <c:pt idx="16">
                  <c:v>0.36911566961495434</c:v>
                </c:pt>
                <c:pt idx="17">
                  <c:v>0.33747888798161174</c:v>
                </c:pt>
                <c:pt idx="18">
                  <c:v>0.30977358236202435</c:v>
                </c:pt>
                <c:pt idx="19">
                  <c:v>0.28547183335024862</c:v>
                </c:pt>
                <c:pt idx="20">
                  <c:v>0.26411670543574878</c:v>
                </c:pt>
                <c:pt idx="21">
                  <c:v>0.24531602698891128</c:v>
                </c:pt>
                <c:pt idx="22">
                  <c:v>0.22873478231489633</c:v>
                </c:pt>
                <c:pt idx="23">
                  <c:v>0.21408738873443467</c:v>
                </c:pt>
                <c:pt idx="24">
                  <c:v>0.20113049219042337</c:v>
                </c:pt>
                <c:pt idx="25">
                  <c:v>0.18965654836050611</c:v>
                </c:pt>
                <c:pt idx="26">
                  <c:v>0.17948825674100929</c:v>
                </c:pt>
                <c:pt idx="27">
                  <c:v>0.17047381383540511</c:v>
                </c:pt>
                <c:pt idx="28">
                  <c:v>0.13776891966342569</c:v>
                </c:pt>
                <c:pt idx="29">
                  <c:v>0.12298253947315671</c:v>
                </c:pt>
                <c:pt idx="30">
                  <c:v>0.11105068271582355</c:v>
                </c:pt>
                <c:pt idx="31">
                  <c:v>0.10122211763336111</c:v>
                </c:pt>
                <c:pt idx="32">
                  <c:v>9.2987240525229373E-2</c:v>
                </c:pt>
                <c:pt idx="33">
                  <c:v>6.4380805040084352E-2</c:v>
                </c:pt>
                <c:pt idx="34">
                  <c:v>6.0963057729000722E-2</c:v>
                </c:pt>
                <c:pt idx="35">
                  <c:v>6.1208813835276869E-2</c:v>
                </c:pt>
                <c:pt idx="36">
                  <c:v>6.2408710054853211E-2</c:v>
                </c:pt>
                <c:pt idx="37">
                  <c:v>6.3993162844554058E-2</c:v>
                </c:pt>
                <c:pt idx="38">
                  <c:v>6.5776977870207809E-2</c:v>
                </c:pt>
                <c:pt idx="39">
                  <c:v>6.7685679975717727E-2</c:v>
                </c:pt>
                <c:pt idx="40">
                  <c:v>6.9685383716258237E-2</c:v>
                </c:pt>
                <c:pt idx="41">
                  <c:v>7.1759446894573101E-2</c:v>
                </c:pt>
                <c:pt idx="42">
                  <c:v>7.8255409213349933E-2</c:v>
                </c:pt>
                <c:pt idx="43">
                  <c:v>8.0533906072945985E-2</c:v>
                </c:pt>
                <c:pt idx="44">
                  <c:v>8.289854912619514E-2</c:v>
                </c:pt>
                <c:pt idx="45">
                  <c:v>8.5333144007857117E-2</c:v>
                </c:pt>
                <c:pt idx="46">
                  <c:v>8.7832302676912347E-2</c:v>
                </c:pt>
                <c:pt idx="47">
                  <c:v>9.0393502973716899E-2</c:v>
                </c:pt>
                <c:pt idx="48">
                  <c:v>9.3015368156944583E-2</c:v>
                </c:pt>
                <c:pt idx="49">
                  <c:v>9.5697064824289663E-2</c:v>
                </c:pt>
                <c:pt idx="50">
                  <c:v>9.8438039165495567E-2</c:v>
                </c:pt>
                <c:pt idx="51">
                  <c:v>0.10123788589880689</c:v>
                </c:pt>
                <c:pt idx="52">
                  <c:v>0.10409627803282165</c:v>
                </c:pt>
                <c:pt idx="53">
                  <c:v>0.10701292746902664</c:v>
                </c:pt>
                <c:pt idx="54">
                  <c:v>0.1099875623327973</c:v>
                </c:pt>
                <c:pt idx="55">
                  <c:v>0.11301991380250082</c:v>
                </c:pt>
                <c:pt idx="56">
                  <c:v>0.11610970849865108</c:v>
                </c:pt>
                <c:pt idx="57">
                  <c:v>0.11925666418976512</c:v>
                </c:pt>
                <c:pt idx="58">
                  <c:v>0.1224604874940295</c:v>
                </c:pt>
                <c:pt idx="59">
                  <c:v>0.12572087278057389</c:v>
                </c:pt>
                <c:pt idx="60">
                  <c:v>0.12903750178216145</c:v>
                </c:pt>
                <c:pt idx="61">
                  <c:v>0.13241004361721539</c:v>
                </c:pt>
                <c:pt idx="62">
                  <c:v>0.13583815503337976</c:v>
                </c:pt>
                <c:pt idx="63">
                  <c:v>0.1393214807565388</c:v>
                </c:pt>
                <c:pt idx="64">
                  <c:v>0.14285965387428637</c:v>
                </c:pt>
                <c:pt idx="65">
                  <c:v>0.14645229621161787</c:v>
                </c:pt>
                <c:pt idx="66">
                  <c:v>0.15009901867489001</c:v>
                </c:pt>
                <c:pt idx="67">
                  <c:v>0.15379942155182705</c:v>
                </c:pt>
                <c:pt idx="68">
                  <c:v>0.15755309476249924</c:v>
                </c:pt>
                <c:pt idx="69">
                  <c:v>0.16135961806091464</c:v>
                </c:pt>
                <c:pt idx="70">
                  <c:v>0.16521856118958367</c:v>
                </c:pt>
                <c:pt idx="71">
                  <c:v>0.16912948399068242</c:v>
                </c:pt>
                <c:pt idx="72">
                  <c:v>0.1730919364786471</c:v>
                </c:pt>
                <c:pt idx="73">
                  <c:v>0.17710545887897233</c:v>
                </c:pt>
                <c:pt idx="74">
                  <c:v>0.18116958163826014</c:v>
                </c:pt>
                <c:pt idx="75">
                  <c:v>0.18528382541007016</c:v>
                </c:pt>
                <c:pt idx="76">
                  <c:v>0.18944770102129299</c:v>
                </c:pt>
                <c:pt idx="77">
                  <c:v>0.19366070942289815</c:v>
                </c:pt>
                <c:pt idx="78">
                  <c:v>0.19792234162903052</c:v>
                </c:pt>
                <c:pt idx="79">
                  <c:v>0.20223207864782833</c:v>
                </c:pt>
                <c:pt idx="80">
                  <c:v>0.2065893914069824</c:v>
                </c:pt>
                <c:pt idx="81">
                  <c:v>0.21099374067694504</c:v>
                </c:pt>
                <c:pt idx="82">
                  <c:v>0.21544457699409716</c:v>
                </c:pt>
                <c:pt idx="83">
                  <c:v>0.21994134058637158</c:v>
                </c:pt>
                <c:pt idx="84">
                  <c:v>0.22448346130292321</c:v>
                </c:pt>
                <c:pt idx="85">
                  <c:v>0.22907035855001631</c:v>
                </c:pt>
                <c:pt idx="86">
                  <c:v>0.23370144123443512</c:v>
                </c:pt>
                <c:pt idx="87">
                  <c:v>0.2383761077158682</c:v>
                </c:pt>
                <c:pt idx="88">
                  <c:v>0.24309374576959211</c:v>
                </c:pt>
                <c:pt idx="89">
                  <c:v>0.24785373256041918</c:v>
                </c:pt>
                <c:pt idx="90">
                  <c:v>0.25265543462895973</c:v>
                </c:pt>
                <c:pt idx="91">
                  <c:v>0.25749820789102695</c:v>
                </c:pt>
                <c:pt idx="92">
                  <c:v>0.26238139765098512</c:v>
                </c:pt>
                <c:pt idx="93">
                  <c:v>0.26730433862955055</c:v>
                </c:pt>
                <c:pt idx="94">
                  <c:v>0.27226635500677893</c:v>
                </c:pt>
                <c:pt idx="95">
                  <c:v>0.27726676048056187</c:v>
                </c:pt>
                <c:pt idx="96">
                  <c:v>0.28230485834120322</c:v>
                </c:pt>
                <c:pt idx="97">
                  <c:v>0.2873799415622732</c:v>
                </c:pt>
                <c:pt idx="98">
                  <c:v>0.29249129290807319</c:v>
                </c:pt>
                <c:pt idx="99">
                  <c:v>0.29763818505790246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38-4BD4-9EB7-BB40EA06A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421624"/>
        <c:axId val="1010419824"/>
      </c:scatterChart>
      <c:valAx>
        <c:axId val="101042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19824"/>
        <c:crosses val="autoZero"/>
        <c:crossBetween val="midCat"/>
      </c:valAx>
      <c:valAx>
        <c:axId val="10104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21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Dry</a:t>
            </a:r>
            <a:r>
              <a:rPr lang="en-US" baseline="0"/>
              <a:t> Thrust vs Mach at 55000 ft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'60000'!$AS$64</c:f>
              <c:strCache>
                <c:ptCount val="1"/>
                <c:pt idx="0">
                  <c:v>Required Thrust, Klb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'60000'!$AR$79:$AR$139</c:f>
              <c:numCache>
                <c:formatCode>General</c:formatCode>
                <c:ptCount val="61"/>
                <c:pt idx="0">
                  <c:v>0.51010101010101006</c:v>
                </c:pt>
                <c:pt idx="1">
                  <c:v>0.53939393939393898</c:v>
                </c:pt>
                <c:pt idx="2">
                  <c:v>0.56868686868686902</c:v>
                </c:pt>
                <c:pt idx="3">
                  <c:v>0.59797979797979794</c:v>
                </c:pt>
                <c:pt idx="4">
                  <c:v>0.62727272727272698</c:v>
                </c:pt>
                <c:pt idx="5">
                  <c:v>0.65656565656565702</c:v>
                </c:pt>
                <c:pt idx="6">
                  <c:v>0.68585858585858595</c:v>
                </c:pt>
                <c:pt idx="7">
                  <c:v>0.71515151515151498</c:v>
                </c:pt>
                <c:pt idx="8">
                  <c:v>0.74444444444444402</c:v>
                </c:pt>
                <c:pt idx="9">
                  <c:v>0.77373737373737395</c:v>
                </c:pt>
                <c:pt idx="10">
                  <c:v>0.80303030303030298</c:v>
                </c:pt>
                <c:pt idx="11">
                  <c:v>0.83232323232323202</c:v>
                </c:pt>
                <c:pt idx="12">
                  <c:v>0.86161616161616195</c:v>
                </c:pt>
                <c:pt idx="13">
                  <c:v>0.89090909090909098</c:v>
                </c:pt>
                <c:pt idx="14">
                  <c:v>0.92020202020202002</c:v>
                </c:pt>
                <c:pt idx="15">
                  <c:v>0.94949494949494895</c:v>
                </c:pt>
                <c:pt idx="16">
                  <c:v>0.97878787878787898</c:v>
                </c:pt>
                <c:pt idx="17">
                  <c:v>1.0080808080807999</c:v>
                </c:pt>
                <c:pt idx="18">
                  <c:v>1.03737373737373</c:v>
                </c:pt>
                <c:pt idx="19">
                  <c:v>1.06666666666666</c:v>
                </c:pt>
                <c:pt idx="20">
                  <c:v>1.09595959595959</c:v>
                </c:pt>
                <c:pt idx="21">
                  <c:v>1.1252525252525201</c:v>
                </c:pt>
                <c:pt idx="22">
                  <c:v>1.1545454545454501</c:v>
                </c:pt>
                <c:pt idx="23">
                  <c:v>1.1838383838383799</c:v>
                </c:pt>
                <c:pt idx="24">
                  <c:v>1.21313131313131</c:v>
                </c:pt>
                <c:pt idx="25">
                  <c:v>1.24242424242424</c:v>
                </c:pt>
                <c:pt idx="26">
                  <c:v>1.27171717171717</c:v>
                </c:pt>
                <c:pt idx="27">
                  <c:v>1.3010101010101001</c:v>
                </c:pt>
                <c:pt idx="28">
                  <c:v>1.3303030303030301</c:v>
                </c:pt>
                <c:pt idx="29">
                  <c:v>1.3595959595959599</c:v>
                </c:pt>
                <c:pt idx="30">
                  <c:v>1.38888888888888</c:v>
                </c:pt>
                <c:pt idx="31">
                  <c:v>1.41818181818181</c:v>
                </c:pt>
                <c:pt idx="32">
                  <c:v>1.44747474747474</c:v>
                </c:pt>
                <c:pt idx="33">
                  <c:v>1.4767676767676701</c:v>
                </c:pt>
                <c:pt idx="34">
                  <c:v>1.5060606060606001</c:v>
                </c:pt>
                <c:pt idx="35">
                  <c:v>1.5353535353535299</c:v>
                </c:pt>
                <c:pt idx="36">
                  <c:v>1.56464646464646</c:v>
                </c:pt>
                <c:pt idx="37">
                  <c:v>1.59393939393939</c:v>
                </c:pt>
                <c:pt idx="38">
                  <c:v>1.62323232323232</c:v>
                </c:pt>
                <c:pt idx="39">
                  <c:v>1.6525252525252501</c:v>
                </c:pt>
                <c:pt idx="40">
                  <c:v>1.6818181818181801</c:v>
                </c:pt>
                <c:pt idx="41">
                  <c:v>1.7111111111111099</c:v>
                </c:pt>
                <c:pt idx="42">
                  <c:v>1.74040404040404</c:v>
                </c:pt>
                <c:pt idx="43">
                  <c:v>1.76969696969697</c:v>
                </c:pt>
                <c:pt idx="44">
                  <c:v>1.79898989898989</c:v>
                </c:pt>
                <c:pt idx="45">
                  <c:v>1.8282828282828201</c:v>
                </c:pt>
                <c:pt idx="46">
                  <c:v>1.8575757575757501</c:v>
                </c:pt>
                <c:pt idx="47">
                  <c:v>1.8868686868686799</c:v>
                </c:pt>
                <c:pt idx="48">
                  <c:v>1.91616161616161</c:v>
                </c:pt>
                <c:pt idx="49">
                  <c:v>1.94545454545454</c:v>
                </c:pt>
                <c:pt idx="50">
                  <c:v>1.97474747474747</c:v>
                </c:pt>
                <c:pt idx="51">
                  <c:v>2.0040404040404001</c:v>
                </c:pt>
                <c:pt idx="52">
                  <c:v>2.0333333333333301</c:v>
                </c:pt>
                <c:pt idx="53">
                  <c:v>2.0626262626262601</c:v>
                </c:pt>
                <c:pt idx="54">
                  <c:v>2.0919191919191902</c:v>
                </c:pt>
                <c:pt idx="55">
                  <c:v>2.1212121212121202</c:v>
                </c:pt>
                <c:pt idx="56">
                  <c:v>2.1505050505050498</c:v>
                </c:pt>
                <c:pt idx="57">
                  <c:v>2.1797979797979798</c:v>
                </c:pt>
                <c:pt idx="58">
                  <c:v>2.2090909090909001</c:v>
                </c:pt>
                <c:pt idx="59">
                  <c:v>2.2383838383838301</c:v>
                </c:pt>
                <c:pt idx="60">
                  <c:v>2.2676767676767602</c:v>
                </c:pt>
              </c:numCache>
            </c:numRef>
          </c:xVal>
          <c:yVal>
            <c:numRef>
              <c:f>'60000'!$AS$79:$AS$139</c:f>
              <c:numCache>
                <c:formatCode>General</c:formatCode>
                <c:ptCount val="61"/>
                <c:pt idx="0">
                  <c:v>69.230794051369784</c:v>
                </c:pt>
                <c:pt idx="1">
                  <c:v>62.125330369169021</c:v>
                </c:pt>
                <c:pt idx="2">
                  <c:v>56.129969045407215</c:v>
                </c:pt>
                <c:pt idx="3">
                  <c:v>51.034715126758279</c:v>
                </c:pt>
                <c:pt idx="4">
                  <c:v>46.677431079705165</c:v>
                </c:pt>
                <c:pt idx="5">
                  <c:v>42.931321363158574</c:v>
                </c:pt>
                <c:pt idx="6">
                  <c:v>39.696075460558518</c:v>
                </c:pt>
                <c:pt idx="7">
                  <c:v>36.891496317768492</c:v>
                </c:pt>
                <c:pt idx="8">
                  <c:v>34.452847923063494</c:v>
                </c:pt>
                <c:pt idx="9">
                  <c:v>32.327411647708445</c:v>
                </c:pt>
                <c:pt idx="10">
                  <c:v>30.471905311920189</c:v>
                </c:pt>
                <c:pt idx="11">
                  <c:v>28.850526523308467</c:v>
                </c:pt>
                <c:pt idx="12">
                  <c:v>27.433453497732618</c:v>
                </c:pt>
                <c:pt idx="13">
                  <c:v>26.195685080588596</c:v>
                </c:pt>
                <c:pt idx="14">
                  <c:v>21.089833333333299</c:v>
                </c:pt>
                <c:pt idx="15">
                  <c:v>19.3636666666666</c:v>
                </c:pt>
                <c:pt idx="16">
                  <c:v>17.6374999999999</c:v>
                </c:pt>
                <c:pt idx="17">
                  <c:v>15.9113333333333</c:v>
                </c:pt>
                <c:pt idx="18">
                  <c:v>14.1851666666666</c:v>
                </c:pt>
                <c:pt idx="19">
                  <c:v>11.397740468226417</c:v>
                </c:pt>
                <c:pt idx="20">
                  <c:v>11.02452105567026</c:v>
                </c:pt>
                <c:pt idx="21">
                  <c:v>11.182490938271236</c:v>
                </c:pt>
                <c:pt idx="22">
                  <c:v>11.48118701212602</c:v>
                </c:pt>
                <c:pt idx="23">
                  <c:v>11.838569630439284</c:v>
                </c:pt>
                <c:pt idx="24">
                  <c:v>12.227973264622838</c:v>
                </c:pt>
                <c:pt idx="25">
                  <c:v>12.638679574025661</c:v>
                </c:pt>
                <c:pt idx="26">
                  <c:v>13.065816456065189</c:v>
                </c:pt>
                <c:pt idx="27">
                  <c:v>13.506995773504809</c:v>
                </c:pt>
                <c:pt idx="28">
                  <c:v>14.669485846173217</c:v>
                </c:pt>
                <c:pt idx="29">
                  <c:v>15.148493859068211</c:v>
                </c:pt>
                <c:pt idx="30">
                  <c:v>15.643808458317741</c:v>
                </c:pt>
                <c:pt idx="31">
                  <c:v>16.152834155533689</c:v>
                </c:pt>
                <c:pt idx="32">
                  <c:v>16.67472205362634</c:v>
                </c:pt>
                <c:pt idx="33">
                  <c:v>17.209083947096538</c:v>
                </c:pt>
                <c:pt idx="34">
                  <c:v>17.755715573584975</c:v>
                </c:pt>
                <c:pt idx="35">
                  <c:v>18.314500435194638</c:v>
                </c:pt>
                <c:pt idx="36">
                  <c:v>18.885367905011627</c:v>
                </c:pt>
                <c:pt idx="37">
                  <c:v>19.468272487986191</c:v>
                </c:pt>
                <c:pt idx="38">
                  <c:v>20.06318272675497</c:v>
                </c:pt>
                <c:pt idx="39">
                  <c:v>20.670074978172497</c:v>
                </c:pt>
                <c:pt idx="40">
                  <c:v>21.288929825586855</c:v>
                </c:pt>
                <c:pt idx="41">
                  <c:v>21.919729986835005</c:v>
                </c:pt>
                <c:pt idx="42">
                  <c:v>22.562459099028437</c:v>
                </c:pt>
                <c:pt idx="43">
                  <c:v>23.217101028230662</c:v>
                </c:pt>
                <c:pt idx="44">
                  <c:v>23.883639496985616</c:v>
                </c:pt>
                <c:pt idx="45">
                  <c:v>24.562057904760415</c:v>
                </c:pt>
                <c:pt idx="46">
                  <c:v>25.25233926452314</c:v>
                </c:pt>
                <c:pt idx="47">
                  <c:v>25.954466207717498</c:v>
                </c:pt>
                <c:pt idx="48">
                  <c:v>26.668421027767312</c:v>
                </c:pt>
                <c:pt idx="49">
                  <c:v>27.394185743426689</c:v>
                </c:pt>
                <c:pt idx="50">
                  <c:v>28.131742170380541</c:v>
                </c:pt>
                <c:pt idx="51">
                  <c:v>28.881071994011478</c:v>
                </c:pt>
                <c:pt idx="52">
                  <c:v>29.642156839158204</c:v>
                </c:pt>
                <c:pt idx="53">
                  <c:v>30.414978334525411</c:v>
                </c:pt>
                <c:pt idx="54">
                  <c:v>31.199518170616724</c:v>
                </c:pt>
                <c:pt idx="55">
                  <c:v>31.995758150780294</c:v>
                </c:pt>
                <c:pt idx="56">
                  <c:v>32.803680235420735</c:v>
                </c:pt>
                <c:pt idx="57">
                  <c:v>33.62326657971176</c:v>
                </c:pt>
                <c:pt idx="58">
                  <c:v>34.454499565275356</c:v>
                </c:pt>
                <c:pt idx="59">
                  <c:v>35.297361826375422</c:v>
                </c:pt>
                <c:pt idx="60">
                  <c:v>36.151836271198874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E4-4255-9275-72413421E9C4}"/>
            </c:ext>
          </c:extLst>
        </c:ser>
        <c:ser>
          <c:idx val="1"/>
          <c:order val="1"/>
          <c:tx>
            <c:strRef>
              <c:f>'60000'!$AT$64</c:f>
              <c:strCache>
                <c:ptCount val="1"/>
                <c:pt idx="0">
                  <c:v>Available Dry Thrust, Klb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'60000'!$AR$79:$AR$139</c:f>
              <c:numCache>
                <c:formatCode>General</c:formatCode>
                <c:ptCount val="61"/>
                <c:pt idx="0">
                  <c:v>0.51010101010101006</c:v>
                </c:pt>
                <c:pt idx="1">
                  <c:v>0.53939393939393898</c:v>
                </c:pt>
                <c:pt idx="2">
                  <c:v>0.56868686868686902</c:v>
                </c:pt>
                <c:pt idx="3">
                  <c:v>0.59797979797979794</c:v>
                </c:pt>
                <c:pt idx="4">
                  <c:v>0.62727272727272698</c:v>
                </c:pt>
                <c:pt idx="5">
                  <c:v>0.65656565656565702</c:v>
                </c:pt>
                <c:pt idx="6">
                  <c:v>0.68585858585858595</c:v>
                </c:pt>
                <c:pt idx="7">
                  <c:v>0.71515151515151498</c:v>
                </c:pt>
                <c:pt idx="8">
                  <c:v>0.74444444444444402</c:v>
                </c:pt>
                <c:pt idx="9">
                  <c:v>0.77373737373737395</c:v>
                </c:pt>
                <c:pt idx="10">
                  <c:v>0.80303030303030298</c:v>
                </c:pt>
                <c:pt idx="11">
                  <c:v>0.83232323232323202</c:v>
                </c:pt>
                <c:pt idx="12">
                  <c:v>0.86161616161616195</c:v>
                </c:pt>
                <c:pt idx="13">
                  <c:v>0.89090909090909098</c:v>
                </c:pt>
                <c:pt idx="14">
                  <c:v>0.92020202020202002</c:v>
                </c:pt>
                <c:pt idx="15">
                  <c:v>0.94949494949494895</c:v>
                </c:pt>
                <c:pt idx="16">
                  <c:v>0.97878787878787898</c:v>
                </c:pt>
                <c:pt idx="17">
                  <c:v>1.0080808080807999</c:v>
                </c:pt>
                <c:pt idx="18">
                  <c:v>1.03737373737373</c:v>
                </c:pt>
                <c:pt idx="19">
                  <c:v>1.06666666666666</c:v>
                </c:pt>
                <c:pt idx="20">
                  <c:v>1.09595959595959</c:v>
                </c:pt>
                <c:pt idx="21">
                  <c:v>1.1252525252525201</c:v>
                </c:pt>
                <c:pt idx="22">
                  <c:v>1.1545454545454501</c:v>
                </c:pt>
                <c:pt idx="23">
                  <c:v>1.1838383838383799</c:v>
                </c:pt>
                <c:pt idx="24">
                  <c:v>1.21313131313131</c:v>
                </c:pt>
                <c:pt idx="25">
                  <c:v>1.24242424242424</c:v>
                </c:pt>
                <c:pt idx="26">
                  <c:v>1.27171717171717</c:v>
                </c:pt>
                <c:pt idx="27">
                  <c:v>1.3010101010101001</c:v>
                </c:pt>
                <c:pt idx="28">
                  <c:v>1.3303030303030301</c:v>
                </c:pt>
                <c:pt idx="29">
                  <c:v>1.3595959595959599</c:v>
                </c:pt>
                <c:pt idx="30">
                  <c:v>1.38888888888888</c:v>
                </c:pt>
                <c:pt idx="31">
                  <c:v>1.41818181818181</c:v>
                </c:pt>
                <c:pt idx="32">
                  <c:v>1.44747474747474</c:v>
                </c:pt>
                <c:pt idx="33">
                  <c:v>1.4767676767676701</c:v>
                </c:pt>
                <c:pt idx="34">
                  <c:v>1.5060606060606001</c:v>
                </c:pt>
                <c:pt idx="35">
                  <c:v>1.5353535353535299</c:v>
                </c:pt>
                <c:pt idx="36">
                  <c:v>1.56464646464646</c:v>
                </c:pt>
                <c:pt idx="37">
                  <c:v>1.59393939393939</c:v>
                </c:pt>
                <c:pt idx="38">
                  <c:v>1.62323232323232</c:v>
                </c:pt>
                <c:pt idx="39">
                  <c:v>1.6525252525252501</c:v>
                </c:pt>
                <c:pt idx="40">
                  <c:v>1.6818181818181801</c:v>
                </c:pt>
                <c:pt idx="41">
                  <c:v>1.7111111111111099</c:v>
                </c:pt>
                <c:pt idx="42">
                  <c:v>1.74040404040404</c:v>
                </c:pt>
                <c:pt idx="43">
                  <c:v>1.76969696969697</c:v>
                </c:pt>
                <c:pt idx="44">
                  <c:v>1.79898989898989</c:v>
                </c:pt>
                <c:pt idx="45">
                  <c:v>1.8282828282828201</c:v>
                </c:pt>
                <c:pt idx="46">
                  <c:v>1.8575757575757501</c:v>
                </c:pt>
                <c:pt idx="47">
                  <c:v>1.8868686868686799</c:v>
                </c:pt>
                <c:pt idx="48">
                  <c:v>1.91616161616161</c:v>
                </c:pt>
                <c:pt idx="49">
                  <c:v>1.94545454545454</c:v>
                </c:pt>
                <c:pt idx="50">
                  <c:v>1.97474747474747</c:v>
                </c:pt>
                <c:pt idx="51">
                  <c:v>2.0040404040404001</c:v>
                </c:pt>
                <c:pt idx="52">
                  <c:v>2.0333333333333301</c:v>
                </c:pt>
                <c:pt idx="53">
                  <c:v>2.0626262626262601</c:v>
                </c:pt>
                <c:pt idx="54">
                  <c:v>2.0919191919191902</c:v>
                </c:pt>
                <c:pt idx="55">
                  <c:v>2.1212121212121202</c:v>
                </c:pt>
                <c:pt idx="56">
                  <c:v>2.1505050505050498</c:v>
                </c:pt>
                <c:pt idx="57">
                  <c:v>2.1797979797979798</c:v>
                </c:pt>
                <c:pt idx="58">
                  <c:v>2.2090909090909001</c:v>
                </c:pt>
                <c:pt idx="59">
                  <c:v>2.2383838383838301</c:v>
                </c:pt>
                <c:pt idx="60">
                  <c:v>2.2676767676767602</c:v>
                </c:pt>
              </c:numCache>
            </c:numRef>
          </c:xVal>
          <c:yVal>
            <c:numRef>
              <c:f>'60000'!$AT$79:$AT$139</c:f>
              <c:numCache>
                <c:formatCode>General</c:formatCode>
                <c:ptCount val="61"/>
                <c:pt idx="0">
                  <c:v>11.730269848709199</c:v>
                </c:pt>
                <c:pt idx="1">
                  <c:v>11.847758394800865</c:v>
                </c:pt>
                <c:pt idx="2">
                  <c:v>11.977203230841448</c:v>
                </c:pt>
                <c:pt idx="3">
                  <c:v>12.11870890033831</c:v>
                </c:pt>
                <c:pt idx="4">
                  <c:v>12.272396133139026</c:v>
                </c:pt>
                <c:pt idx="5">
                  <c:v>12.438401066571458</c:v>
                </c:pt>
                <c:pt idx="6">
                  <c:v>12.616874452935186</c:v>
                </c:pt>
                <c:pt idx="7">
                  <c:v>12.807980847952019</c:v>
                </c:pt>
                <c:pt idx="8">
                  <c:v>13.011897774698376</c:v>
                </c:pt>
                <c:pt idx="9">
                  <c:v>13.228814857448455</c:v>
                </c:pt>
                <c:pt idx="10">
                  <c:v>13.458932919755892</c:v>
                </c:pt>
                <c:pt idx="11">
                  <c:v>13.702463040992429</c:v>
                </c:pt>
                <c:pt idx="12">
                  <c:v>13.959625565445471</c:v>
                </c:pt>
                <c:pt idx="13">
                  <c:v>14.230649057952554</c:v>
                </c:pt>
                <c:pt idx="14">
                  <c:v>14.515769199920086</c:v>
                </c:pt>
                <c:pt idx="15">
                  <c:v>14.815227619435786</c:v>
                </c:pt>
                <c:pt idx="16">
                  <c:v>15.129270649040231</c:v>
                </c:pt>
                <c:pt idx="17">
                  <c:v>15.458148004572131</c:v>
                </c:pt>
                <c:pt idx="18">
                  <c:v>15.802111378346234</c:v>
                </c:pt>
                <c:pt idx="19">
                  <c:v>16.161412939757682</c:v>
                </c:pt>
                <c:pt idx="20">
                  <c:v>16.53630373624253</c:v>
                </c:pt>
                <c:pt idx="21">
                  <c:v>16.927031987346613</c:v>
                </c:pt>
                <c:pt idx="22">
                  <c:v>17.333841264478476</c:v>
                </c:pt>
                <c:pt idx="23">
                  <c:v>17.756968548737685</c:v>
                </c:pt>
                <c:pt idx="24">
                  <c:v>18.39412506859567</c:v>
                </c:pt>
                <c:pt idx="25">
                  <c:v>18.774375574669445</c:v>
                </c:pt>
                <c:pt idx="26">
                  <c:v>19.165178789194606</c:v>
                </c:pt>
                <c:pt idx="27">
                  <c:v>19.566274431350251</c:v>
                </c:pt>
                <c:pt idx="28">
                  <c:v>19.977357957825131</c:v>
                </c:pt>
                <c:pt idx="29">
                  <c:v>20.398076501364752</c:v>
                </c:pt>
                <c:pt idx="30">
                  <c:v>20.828024584855754</c:v>
                </c:pt>
                <c:pt idx="31">
                  <c:v>21.266739600816674</c:v>
                </c:pt>
                <c:pt idx="32">
                  <c:v>21.71369704593651</c:v>
                </c:pt>
                <c:pt idx="33">
                  <c:v>22.168305500080347</c:v>
                </c:pt>
                <c:pt idx="34">
                  <c:v>22.629901338946194</c:v>
                </c:pt>
                <c:pt idx="35">
                  <c:v>23.097743169328119</c:v>
                </c:pt>
                <c:pt idx="36">
                  <c:v>23.571005975705262</c:v>
                </c:pt>
                <c:pt idx="37">
                  <c:v>24.048774966639467</c:v>
                </c:pt>
                <c:pt idx="38">
                  <c:v>24.530039109225939</c:v>
                </c:pt>
                <c:pt idx="39">
                  <c:v>25.013684339600267</c:v>
                </c:pt>
                <c:pt idx="40">
                  <c:v>25.498486437262866</c:v>
                </c:pt>
                <c:pt idx="41">
                  <c:v>25.983103550737631</c:v>
                </c:pt>
                <c:pt idx="42">
                  <c:v>26.466068361835589</c:v>
                </c:pt>
                <c:pt idx="43">
                  <c:v>26.945779875546904</c:v>
                </c:pt>
                <c:pt idx="44">
                  <c:v>27.420494822336085</c:v>
                </c:pt>
                <c:pt idx="45">
                  <c:v>27.888318659365222</c:v>
                </c:pt>
                <c:pt idx="46">
                  <c:v>28.347196156915857</c:v>
                </c:pt>
                <c:pt idx="47">
                  <c:v>28.794901556032954</c:v>
                </c:pt>
                <c:pt idx="48">
                  <c:v>29.229028283154413</c:v>
                </c:pt>
                <c:pt idx="49">
                  <c:v>29.646978207238462</c:v>
                </c:pt>
                <c:pt idx="50">
                  <c:v>30.045950424644005</c:v>
                </c:pt>
                <c:pt idx="51">
                  <c:v>30.422929556762078</c:v>
                </c:pt>
                <c:pt idx="52">
                  <c:v>30.774673545138828</c:v>
                </c:pt>
                <c:pt idx="53">
                  <c:v>31.097700928571602</c:v>
                </c:pt>
                <c:pt idx="54">
                  <c:v>31.388277586400708</c:v>
                </c:pt>
                <c:pt idx="55">
                  <c:v>31.642402931958028</c:v>
                </c:pt>
                <c:pt idx="56">
                  <c:v>31.855795539874322</c:v>
                </c:pt>
                <c:pt idx="57">
                  <c:v>32.02387819068398</c:v>
                </c:pt>
                <c:pt idx="58">
                  <c:v>32.141762315904231</c:v>
                </c:pt>
                <c:pt idx="59">
                  <c:v>32.204231826503843</c:v>
                </c:pt>
                <c:pt idx="60">
                  <c:v>32.205726307410998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E4-4255-9275-72413421E9C4}"/>
            </c:ext>
          </c:extLst>
        </c:ser>
        <c:ser>
          <c:idx val="2"/>
          <c:order val="2"/>
          <c:tx>
            <c:v>Concorde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'60000'!$AR$79:$AR$139</c:f>
              <c:numCache>
                <c:formatCode>General</c:formatCode>
                <c:ptCount val="61"/>
                <c:pt idx="0">
                  <c:v>0.51010101010101006</c:v>
                </c:pt>
                <c:pt idx="1">
                  <c:v>0.53939393939393898</c:v>
                </c:pt>
                <c:pt idx="2">
                  <c:v>0.56868686868686902</c:v>
                </c:pt>
                <c:pt idx="3">
                  <c:v>0.59797979797979794</c:v>
                </c:pt>
                <c:pt idx="4">
                  <c:v>0.62727272727272698</c:v>
                </c:pt>
                <c:pt idx="5">
                  <c:v>0.65656565656565702</c:v>
                </c:pt>
                <c:pt idx="6">
                  <c:v>0.68585858585858595</c:v>
                </c:pt>
                <c:pt idx="7">
                  <c:v>0.71515151515151498</c:v>
                </c:pt>
                <c:pt idx="8">
                  <c:v>0.74444444444444402</c:v>
                </c:pt>
                <c:pt idx="9">
                  <c:v>0.77373737373737395</c:v>
                </c:pt>
                <c:pt idx="10">
                  <c:v>0.80303030303030298</c:v>
                </c:pt>
                <c:pt idx="11">
                  <c:v>0.83232323232323202</c:v>
                </c:pt>
                <c:pt idx="12">
                  <c:v>0.86161616161616195</c:v>
                </c:pt>
                <c:pt idx="13">
                  <c:v>0.89090909090909098</c:v>
                </c:pt>
                <c:pt idx="14">
                  <c:v>0.92020202020202002</c:v>
                </c:pt>
                <c:pt idx="15">
                  <c:v>0.94949494949494895</c:v>
                </c:pt>
                <c:pt idx="16">
                  <c:v>0.97878787878787898</c:v>
                </c:pt>
                <c:pt idx="17">
                  <c:v>1.0080808080807999</c:v>
                </c:pt>
                <c:pt idx="18">
                  <c:v>1.03737373737373</c:v>
                </c:pt>
                <c:pt idx="19">
                  <c:v>1.06666666666666</c:v>
                </c:pt>
                <c:pt idx="20">
                  <c:v>1.09595959595959</c:v>
                </c:pt>
                <c:pt idx="21">
                  <c:v>1.1252525252525201</c:v>
                </c:pt>
                <c:pt idx="22">
                  <c:v>1.1545454545454501</c:v>
                </c:pt>
                <c:pt idx="23">
                  <c:v>1.1838383838383799</c:v>
                </c:pt>
                <c:pt idx="24">
                  <c:v>1.21313131313131</c:v>
                </c:pt>
                <c:pt idx="25">
                  <c:v>1.24242424242424</c:v>
                </c:pt>
                <c:pt idx="26">
                  <c:v>1.27171717171717</c:v>
                </c:pt>
                <c:pt idx="27">
                  <c:v>1.3010101010101001</c:v>
                </c:pt>
                <c:pt idx="28">
                  <c:v>1.3303030303030301</c:v>
                </c:pt>
                <c:pt idx="29">
                  <c:v>1.3595959595959599</c:v>
                </c:pt>
                <c:pt idx="30">
                  <c:v>1.38888888888888</c:v>
                </c:pt>
                <c:pt idx="31">
                  <c:v>1.41818181818181</c:v>
                </c:pt>
                <c:pt idx="32">
                  <c:v>1.44747474747474</c:v>
                </c:pt>
                <c:pt idx="33">
                  <c:v>1.4767676767676701</c:v>
                </c:pt>
                <c:pt idx="34">
                  <c:v>1.5060606060606001</c:v>
                </c:pt>
                <c:pt idx="35">
                  <c:v>1.5353535353535299</c:v>
                </c:pt>
                <c:pt idx="36">
                  <c:v>1.56464646464646</c:v>
                </c:pt>
                <c:pt idx="37">
                  <c:v>1.59393939393939</c:v>
                </c:pt>
                <c:pt idx="38">
                  <c:v>1.62323232323232</c:v>
                </c:pt>
                <c:pt idx="39">
                  <c:v>1.6525252525252501</c:v>
                </c:pt>
                <c:pt idx="40">
                  <c:v>1.6818181818181801</c:v>
                </c:pt>
                <c:pt idx="41">
                  <c:v>1.7111111111111099</c:v>
                </c:pt>
                <c:pt idx="42">
                  <c:v>1.74040404040404</c:v>
                </c:pt>
                <c:pt idx="43">
                  <c:v>1.76969696969697</c:v>
                </c:pt>
                <c:pt idx="44">
                  <c:v>1.79898989898989</c:v>
                </c:pt>
                <c:pt idx="45">
                  <c:v>1.8282828282828201</c:v>
                </c:pt>
                <c:pt idx="46">
                  <c:v>1.8575757575757501</c:v>
                </c:pt>
                <c:pt idx="47">
                  <c:v>1.8868686868686799</c:v>
                </c:pt>
                <c:pt idx="48">
                  <c:v>1.91616161616161</c:v>
                </c:pt>
                <c:pt idx="49">
                  <c:v>1.94545454545454</c:v>
                </c:pt>
                <c:pt idx="50">
                  <c:v>1.97474747474747</c:v>
                </c:pt>
                <c:pt idx="51">
                  <c:v>2.0040404040404001</c:v>
                </c:pt>
                <c:pt idx="52">
                  <c:v>2.0333333333333301</c:v>
                </c:pt>
                <c:pt idx="53">
                  <c:v>2.0626262626262601</c:v>
                </c:pt>
                <c:pt idx="54">
                  <c:v>2.0919191919191902</c:v>
                </c:pt>
                <c:pt idx="55">
                  <c:v>2.1212121212121202</c:v>
                </c:pt>
                <c:pt idx="56">
                  <c:v>2.1505050505050498</c:v>
                </c:pt>
                <c:pt idx="57">
                  <c:v>2.1797979797979798</c:v>
                </c:pt>
                <c:pt idx="58">
                  <c:v>2.2090909090909001</c:v>
                </c:pt>
                <c:pt idx="59">
                  <c:v>2.2383838383838301</c:v>
                </c:pt>
                <c:pt idx="60">
                  <c:v>2.2676767676767602</c:v>
                </c:pt>
              </c:numCache>
            </c:numRef>
          </c:xVal>
          <c:yVal>
            <c:numRef>
              <c:f>'60000'!$AU$76:$AU$164</c:f>
              <c:numCache>
                <c:formatCode>General</c:formatCode>
                <c:ptCount val="89"/>
                <c:pt idx="0">
                  <c:v>11.370432400666843</c:v>
                </c:pt>
                <c:pt idx="1">
                  <c:v>11.451944449667542</c:v>
                </c:pt>
                <c:pt idx="2">
                  <c:v>11.545123604488364</c:v>
                </c:pt>
                <c:pt idx="3">
                  <c:v>11.65002088220494</c:v>
                </c:pt>
                <c:pt idx="4">
                  <c:v>11.766705667213397</c:v>
                </c:pt>
                <c:pt idx="5">
                  <c:v>11.895264946958555</c:v>
                </c:pt>
                <c:pt idx="6">
                  <c:v>12.035802549746119</c:v>
                </c:pt>
                <c:pt idx="7">
                  <c:v>12.188438379488232</c:v>
                </c:pt>
                <c:pt idx="8">
                  <c:v>12.353307642171877</c:v>
                </c:pt>
                <c:pt idx="9">
                  <c:v>12.530560058772</c:v>
                </c:pt>
                <c:pt idx="10">
                  <c:v>12.72035905925399</c:v>
                </c:pt>
                <c:pt idx="11">
                  <c:v>12.922880952225745</c:v>
                </c:pt>
                <c:pt idx="12">
                  <c:v>13.138314064706398</c:v>
                </c:pt>
                <c:pt idx="13">
                  <c:v>13.366857846378155</c:v>
                </c:pt>
                <c:pt idx="14">
                  <c:v>13.608721932579357</c:v>
                </c:pt>
                <c:pt idx="15">
                  <c:v>13.864125160180993</c:v>
                </c:pt>
                <c:pt idx="16">
                  <c:v>14.133294530365866</c:v>
                </c:pt>
                <c:pt idx="17">
                  <c:v>14.416464112199865</c:v>
                </c:pt>
                <c:pt idx="18">
                  <c:v>14.713873880747851</c:v>
                </c:pt>
                <c:pt idx="19">
                  <c:v>15.025768483343484</c:v>
                </c:pt>
                <c:pt idx="20">
                  <c:v>15.35239592747279</c:v>
                </c:pt>
                <c:pt idx="21">
                  <c:v>15.694006183576398</c:v>
                </c:pt>
                <c:pt idx="22">
                  <c:v>16.050849695911523</c:v>
                </c:pt>
                <c:pt idx="23">
                  <c:v>16.423175794451833</c:v>
                </c:pt>
                <c:pt idx="24">
                  <c:v>16.811231000626893</c:v>
                </c:pt>
                <c:pt idx="25">
                  <c:v>17.215257219527768</c:v>
                </c:pt>
                <c:pt idx="26">
                  <c:v>17.635489811022062</c:v>
                </c:pt>
                <c:pt idx="27">
                  <c:v>18.072155532034554</c:v>
                </c:pt>
                <c:pt idx="28">
                  <c:v>18.621843320813511</c:v>
                </c:pt>
                <c:pt idx="29">
                  <c:v>19.034066222259803</c:v>
                </c:pt>
                <c:pt idx="30">
                  <c:v>19.432417894228273</c:v>
                </c:pt>
                <c:pt idx="31">
                  <c:v>19.84068912153425</c:v>
                </c:pt>
                <c:pt idx="32">
                  <c:v>20.258529450954022</c:v>
                </c:pt>
                <c:pt idx="33">
                  <c:v>20.685536179318873</c:v>
                </c:pt>
                <c:pt idx="34">
                  <c:v>21.12124986393151</c:v>
                </c:pt>
                <c:pt idx="35">
                  <c:v>21.565149589706021</c:v>
                </c:pt>
                <c:pt idx="36">
                  <c:v>22.016647982523082</c:v>
                </c:pt>
                <c:pt idx="37">
                  <c:v>22.475085958058465</c:v>
                </c:pt>
                <c:pt idx="38">
                  <c:v>22.939727195115616</c:v>
                </c:pt>
                <c:pt idx="39">
                  <c:v>23.409752322258903</c:v>
                </c:pt>
                <c:pt idx="40">
                  <c:v>23.884252806309231</c:v>
                </c:pt>
                <c:pt idx="41">
                  <c:v>24.362224531026701</c:v>
                </c:pt>
                <c:pt idx="42">
                  <c:v>24.842561054065833</c:v>
                </c:pt>
                <c:pt idx="43">
                  <c:v>25.324046530048083</c:v>
                </c:pt>
                <c:pt idx="44">
                  <c:v>25.80534828735388</c:v>
                </c:pt>
                <c:pt idx="45">
                  <c:v>26.28500904599197</c:v>
                </c:pt>
                <c:pt idx="46">
                  <c:v>26.761438763658347</c:v>
                </c:pt>
                <c:pt idx="47">
                  <c:v>27.232906096849955</c:v>
                </c:pt>
                <c:pt idx="48">
                  <c:v>27.697529463650195</c:v>
                </c:pt>
                <c:pt idx="49">
                  <c:v>28.153267694550919</c:v>
                </c:pt>
                <c:pt idx="50">
                  <c:v>28.597910257429728</c:v>
                </c:pt>
                <c:pt idx="51">
                  <c:v>29.029067042543659</c:v>
                </c:pt>
                <c:pt idx="52">
                  <c:v>29.444157693150547</c:v>
                </c:pt>
                <c:pt idx="53">
                  <c:v>29.840400467114154</c:v>
                </c:pt>
                <c:pt idx="54">
                  <c:v>30.21480061459366</c:v>
                </c:pt>
                <c:pt idx="55">
                  <c:v>30.564138256662485</c:v>
                </c:pt>
                <c:pt idx="56">
                  <c:v>30.884955749444202</c:v>
                </c:pt>
                <c:pt idx="57">
                  <c:v>31.173544518095841</c:v>
                </c:pt>
                <c:pt idx="58">
                  <c:v>31.425931344709735</c:v>
                </c:pt>
                <c:pt idx="59">
                  <c:v>31.637864093947087</c:v>
                </c:pt>
                <c:pt idx="60">
                  <c:v>31.804796859955392</c:v>
                </c:pt>
                <c:pt idx="61">
                  <c:v>31.921874517861745</c:v>
                </c:pt>
                <c:pt idx="62">
                  <c:v>31.983916662874009</c:v>
                </c:pt>
                <c:pt idx="63">
                  <c:v>31.985400919758206</c:v>
                </c:pt>
                <c:pt idx="64">
                  <c:v>31.920445605200644</c:v>
                </c:pt>
                <c:pt idx="65">
                  <c:v>31.782791725298992</c:v>
                </c:pt>
                <c:pt idx="66">
                  <c:v>31.565784290164459</c:v>
                </c:pt>
                <c:pt idx="67">
                  <c:v>31.262352927353486</c:v>
                </c:pt>
                <c:pt idx="68">
                  <c:v>30.864991775582951</c:v>
                </c:pt>
                <c:pt idx="69">
                  <c:v>30.365738639919947</c:v>
                </c:pt>
                <c:pt idx="70">
                  <c:v>29.756153389371022</c:v>
                </c:pt>
                <c:pt idx="71">
                  <c:v>29.027295577532282</c:v>
                </c:pt>
                <c:pt idx="72">
                  <c:v>28.169701266695391</c:v>
                </c:pt>
                <c:pt idx="73">
                  <c:v>27.173359035539711</c:v>
                </c:pt>
                <c:pt idx="74">
                  <c:v>26.027685150274532</c:v>
                </c:pt>
                <c:pt idx="75">
                  <c:v>24.721497878830242</c:v>
                </c:pt>
                <c:pt idx="76">
                  <c:v>23.242990927427215</c:v>
                </c:pt>
                <c:pt idx="77">
                  <c:v>21.579705978594433</c:v>
                </c:pt>
                <c:pt idx="78">
                  <c:v>19.718504309427868</c:v>
                </c:pt>
                <c:pt idx="79">
                  <c:v>17.64553746862611</c:v>
                </c:pt>
                <c:pt idx="80">
                  <c:v>15.346216990565528</c:v>
                </c:pt>
                <c:pt idx="81">
                  <c:v>12.8051831244123</c:v>
                </c:pt>
                <c:pt idx="82">
                  <c:v>10.006272556000974</c:v>
                </c:pt>
                <c:pt idx="83">
                  <c:v>6.9324850999412213</c:v>
                </c:pt>
                <c:pt idx="84">
                  <c:v>3.5659493391476604</c:v>
                </c:pt>
                <c:pt idx="85">
                  <c:v>-0.11211281128199524</c:v>
                </c:pt>
                <c:pt idx="86">
                  <c:v>-4.1214226391814153</c:v>
                </c:pt>
                <c:pt idx="87">
                  <c:v>-8.4826822930334416</c:v>
                </c:pt>
                <c:pt idx="88">
                  <c:v>-13.21761358616893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53-484D-AFB0-06662299A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086111"/>
        <c:axId val="715087551"/>
      </c:scatterChart>
      <c:valAx>
        <c:axId val="71508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87551"/>
        <c:crosses val="autoZero"/>
        <c:crossBetween val="midCat"/>
      </c:valAx>
      <c:valAx>
        <c:axId val="71508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</a:t>
                </a:r>
                <a:r>
                  <a:rPr lang="en-US" baseline="0"/>
                  <a:t> (Klb)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86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Dry Thrust</a:t>
            </a:r>
            <a:r>
              <a:rPr lang="en-US" baseline="0"/>
              <a:t> vs Mach at 46000 ft (Boomless Cruise)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'60000'!$BH$65</c:f>
              <c:strCache>
                <c:ptCount val="1"/>
                <c:pt idx="0">
                  <c:v>Required Thrust, Klb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'60000'!$BG$80:$BG$153</c:f>
              <c:numCache>
                <c:formatCode>General</c:formatCode>
                <c:ptCount val="74"/>
                <c:pt idx="0">
                  <c:v>0.51010101010101006</c:v>
                </c:pt>
                <c:pt idx="1">
                  <c:v>0.53939393939393898</c:v>
                </c:pt>
                <c:pt idx="2">
                  <c:v>0.56868686868686902</c:v>
                </c:pt>
                <c:pt idx="3">
                  <c:v>0.59797979797979794</c:v>
                </c:pt>
                <c:pt idx="4">
                  <c:v>0.62727272727272698</c:v>
                </c:pt>
                <c:pt idx="5">
                  <c:v>0.65656565656565702</c:v>
                </c:pt>
                <c:pt idx="6">
                  <c:v>0.68585858585858595</c:v>
                </c:pt>
                <c:pt idx="7">
                  <c:v>0.71515151515151498</c:v>
                </c:pt>
                <c:pt idx="8">
                  <c:v>0.74444444444444402</c:v>
                </c:pt>
                <c:pt idx="9">
                  <c:v>0.77373737373737395</c:v>
                </c:pt>
                <c:pt idx="10">
                  <c:v>0.80303030303030298</c:v>
                </c:pt>
                <c:pt idx="11">
                  <c:v>0.83232323232323202</c:v>
                </c:pt>
                <c:pt idx="12">
                  <c:v>0.86161616161616195</c:v>
                </c:pt>
                <c:pt idx="13">
                  <c:v>0.89090909090909098</c:v>
                </c:pt>
                <c:pt idx="14">
                  <c:v>0.92020202020202002</c:v>
                </c:pt>
                <c:pt idx="15">
                  <c:v>0.94949494949494895</c:v>
                </c:pt>
                <c:pt idx="16">
                  <c:v>0.97878787878787898</c:v>
                </c:pt>
                <c:pt idx="17">
                  <c:v>1.0080808080807999</c:v>
                </c:pt>
                <c:pt idx="18">
                  <c:v>1.03737373737373</c:v>
                </c:pt>
                <c:pt idx="19">
                  <c:v>1.06666666666666</c:v>
                </c:pt>
                <c:pt idx="20">
                  <c:v>1.09595959595959</c:v>
                </c:pt>
                <c:pt idx="21">
                  <c:v>1.1252525252525201</c:v>
                </c:pt>
                <c:pt idx="22">
                  <c:v>1.1545454545454501</c:v>
                </c:pt>
                <c:pt idx="23">
                  <c:v>1.1838383838383799</c:v>
                </c:pt>
                <c:pt idx="24">
                  <c:v>1.21313131313131</c:v>
                </c:pt>
                <c:pt idx="25">
                  <c:v>1.24242424242424</c:v>
                </c:pt>
                <c:pt idx="26">
                  <c:v>1.27171717171717</c:v>
                </c:pt>
                <c:pt idx="27">
                  <c:v>1.3010101010101001</c:v>
                </c:pt>
                <c:pt idx="28">
                  <c:v>1.3303030303030301</c:v>
                </c:pt>
                <c:pt idx="29">
                  <c:v>1.3595959595959599</c:v>
                </c:pt>
                <c:pt idx="30">
                  <c:v>1.38888888888888</c:v>
                </c:pt>
                <c:pt idx="31">
                  <c:v>1.41818181818181</c:v>
                </c:pt>
                <c:pt idx="32">
                  <c:v>1.44747474747474</c:v>
                </c:pt>
                <c:pt idx="33">
                  <c:v>1.4767676767676701</c:v>
                </c:pt>
                <c:pt idx="34">
                  <c:v>1.5060606060606001</c:v>
                </c:pt>
                <c:pt idx="35">
                  <c:v>1.5353535353535299</c:v>
                </c:pt>
                <c:pt idx="36">
                  <c:v>1.56464646464646</c:v>
                </c:pt>
                <c:pt idx="37">
                  <c:v>1.59393939393939</c:v>
                </c:pt>
                <c:pt idx="38">
                  <c:v>1.62323232323232</c:v>
                </c:pt>
                <c:pt idx="39">
                  <c:v>1.6525252525252501</c:v>
                </c:pt>
                <c:pt idx="40">
                  <c:v>1.6818181818181801</c:v>
                </c:pt>
                <c:pt idx="41">
                  <c:v>1.7111111111111099</c:v>
                </c:pt>
                <c:pt idx="42">
                  <c:v>1.74040404040404</c:v>
                </c:pt>
                <c:pt idx="43">
                  <c:v>1.76969696969697</c:v>
                </c:pt>
                <c:pt idx="44">
                  <c:v>1.79898989898989</c:v>
                </c:pt>
                <c:pt idx="45">
                  <c:v>1.8282828282828201</c:v>
                </c:pt>
                <c:pt idx="46">
                  <c:v>1.8575757575757501</c:v>
                </c:pt>
                <c:pt idx="47">
                  <c:v>1.8868686868686799</c:v>
                </c:pt>
                <c:pt idx="48">
                  <c:v>1.91616161616161</c:v>
                </c:pt>
                <c:pt idx="49">
                  <c:v>1.94545454545454</c:v>
                </c:pt>
                <c:pt idx="50">
                  <c:v>1.97474747474747</c:v>
                </c:pt>
                <c:pt idx="51">
                  <c:v>2.0040404040404001</c:v>
                </c:pt>
                <c:pt idx="52">
                  <c:v>2.0333333333333301</c:v>
                </c:pt>
                <c:pt idx="53">
                  <c:v>2.0626262626262601</c:v>
                </c:pt>
                <c:pt idx="54">
                  <c:v>2.0919191919191902</c:v>
                </c:pt>
                <c:pt idx="55">
                  <c:v>2.1212121212121202</c:v>
                </c:pt>
                <c:pt idx="56">
                  <c:v>2.1505050505050498</c:v>
                </c:pt>
                <c:pt idx="57">
                  <c:v>2.1797979797979798</c:v>
                </c:pt>
                <c:pt idx="58">
                  <c:v>2.2090909090909001</c:v>
                </c:pt>
                <c:pt idx="59">
                  <c:v>2.2383838383838301</c:v>
                </c:pt>
                <c:pt idx="60">
                  <c:v>2.2676767676767602</c:v>
                </c:pt>
                <c:pt idx="61">
                  <c:v>2.2969696969696898</c:v>
                </c:pt>
                <c:pt idx="62">
                  <c:v>2.3262626262626198</c:v>
                </c:pt>
                <c:pt idx="63">
                  <c:v>2.3555555555555499</c:v>
                </c:pt>
                <c:pt idx="64">
                  <c:v>2.3848484848484799</c:v>
                </c:pt>
                <c:pt idx="65">
                  <c:v>2.4141414141414099</c:v>
                </c:pt>
                <c:pt idx="66">
                  <c:v>2.44343434343434</c:v>
                </c:pt>
                <c:pt idx="67">
                  <c:v>2.47272727272727</c:v>
                </c:pt>
                <c:pt idx="68">
                  <c:v>2.5020202020202</c:v>
                </c:pt>
                <c:pt idx="69">
                  <c:v>2.5313131313131301</c:v>
                </c:pt>
                <c:pt idx="70">
                  <c:v>2.5606060606060601</c:v>
                </c:pt>
                <c:pt idx="71">
                  <c:v>2.5898989898989901</c:v>
                </c:pt>
                <c:pt idx="72">
                  <c:v>2.61919191919191</c:v>
                </c:pt>
                <c:pt idx="73">
                  <c:v>2.64848484848484</c:v>
                </c:pt>
              </c:numCache>
            </c:numRef>
          </c:xVal>
          <c:yVal>
            <c:numRef>
              <c:f>'60000'!$BH$80:$BH$153</c:f>
              <c:numCache>
                <c:formatCode>General</c:formatCode>
                <c:ptCount val="74"/>
                <c:pt idx="0">
                  <c:v>46.159480778592432</c:v>
                </c:pt>
                <c:pt idx="1">
                  <c:v>41.68980665469978</c:v>
                </c:pt>
                <c:pt idx="2">
                  <c:v>37.955078140970691</c:v>
                </c:pt>
                <c:pt idx="3">
                  <c:v>34.818092149314175</c:v>
                </c:pt>
                <c:pt idx="4">
                  <c:v>32.1729138944334</c:v>
                </c:pt>
                <c:pt idx="5">
                  <c:v>29.936699767384088</c:v>
                </c:pt>
                <c:pt idx="6">
                  <c:v>28.043910513902979</c:v>
                </c:pt>
                <c:pt idx="7">
                  <c:v>26.442148286760652</c:v>
                </c:pt>
                <c:pt idx="8">
                  <c:v>25.089116923222239</c:v>
                </c:pt>
                <c:pt idx="9">
                  <c:v>23.950371982848591</c:v>
                </c:pt>
                <c:pt idx="10">
                  <c:v>22.997634458780198</c:v>
                </c:pt>
                <c:pt idx="11">
                  <c:v>22.207512366023188</c:v>
                </c:pt>
                <c:pt idx="12">
                  <c:v>21.560521232157303</c:v>
                </c:pt>
                <c:pt idx="13">
                  <c:v>21.040326209305533</c:v>
                </c:pt>
                <c:pt idx="14">
                  <c:v>21.089833333333299</c:v>
                </c:pt>
                <c:pt idx="15">
                  <c:v>19.3636666666666</c:v>
                </c:pt>
                <c:pt idx="16">
                  <c:v>17.6374999999999</c:v>
                </c:pt>
                <c:pt idx="17">
                  <c:v>15.9113333333333</c:v>
                </c:pt>
                <c:pt idx="18">
                  <c:v>14.1851666666666</c:v>
                </c:pt>
                <c:pt idx="19">
                  <c:v>13.841321011662</c:v>
                </c:pt>
                <c:pt idx="20">
                  <c:v>13.953505830001198</c:v>
                </c:pt>
                <c:pt idx="21">
                  <c:v>14.422395454330111</c:v>
                </c:pt>
                <c:pt idx="22">
                  <c:v>14.992875450741552</c:v>
                </c:pt>
                <c:pt idx="23">
                  <c:v>15.611344088775182</c:v>
                </c:pt>
                <c:pt idx="24">
                  <c:v>16.260379078942929</c:v>
                </c:pt>
                <c:pt idx="25">
                  <c:v>16.932977446110204</c:v>
                </c:pt>
                <c:pt idx="26">
                  <c:v>17.625955935111897</c:v>
                </c:pt>
                <c:pt idx="27">
                  <c:v>18.337754223671393</c:v>
                </c:pt>
                <c:pt idx="28">
                  <c:v>20.151949523732092</c:v>
                </c:pt>
                <c:pt idx="29">
                  <c:v>20.919011582039669</c:v>
                </c:pt>
                <c:pt idx="30">
                  <c:v>21.710290424123951</c:v>
                </c:pt>
                <c:pt idx="31">
                  <c:v>22.521963858680959</c:v>
                </c:pt>
                <c:pt idx="32">
                  <c:v>23.352803975438071</c:v>
                </c:pt>
                <c:pt idx="33">
                  <c:v>24.202244980975969</c:v>
                </c:pt>
                <c:pt idx="34">
                  <c:v>25.069979798848969</c:v>
                </c:pt>
                <c:pt idx="35">
                  <c:v>25.95582432706415</c:v>
                </c:pt>
                <c:pt idx="36">
                  <c:v>26.859659844027028</c:v>
                </c:pt>
                <c:pt idx="37">
                  <c:v>27.781404939297516</c:v>
                </c:pt>
                <c:pt idx="38">
                  <c:v>28.721000536762304</c:v>
                </c:pt>
                <c:pt idx="39">
                  <c:v>29.678401389836569</c:v>
                </c:pt>
                <c:pt idx="40">
                  <c:v>30.653571033584264</c:v>
                </c:pt>
                <c:pt idx="41">
                  <c:v>31.646478691501965</c:v>
                </c:pt>
                <c:pt idx="42">
                  <c:v>32.657097335932811</c:v>
                </c:pt>
                <c:pt idx="43">
                  <c:v>33.685402451933314</c:v>
                </c:pt>
                <c:pt idx="44">
                  <c:v>34.73137124095939</c:v>
                </c:pt>
                <c:pt idx="45">
                  <c:v>35.794982104829934</c:v>
                </c:pt>
                <c:pt idx="46">
                  <c:v>36.876214310829226</c:v>
                </c:pt>
                <c:pt idx="47">
                  <c:v>37.975047775045951</c:v>
                </c:pt>
                <c:pt idx="48">
                  <c:v>39.091462923346413</c:v>
                </c:pt>
                <c:pt idx="49">
                  <c:v>40.225440603424744</c:v>
                </c:pt>
                <c:pt idx="50">
                  <c:v>41.376962030389642</c:v>
                </c:pt>
                <c:pt idx="51">
                  <c:v>42.546008754204372</c:v>
                </c:pt>
                <c:pt idx="52">
                  <c:v>43.73256264118406</c:v>
                </c:pt>
                <c:pt idx="53">
                  <c:v>44.936605864306614</c:v>
                </c:pt>
                <c:pt idx="54">
                  <c:v>46.158120898870564</c:v>
                </c:pt>
                <c:pt idx="55">
                  <c:v>47.397090521168927</c:v>
                </c:pt>
                <c:pt idx="56">
                  <c:v>48.653497808652666</c:v>
                </c:pt>
                <c:pt idx="57">
                  <c:v>49.927326140616465</c:v>
                </c:pt>
                <c:pt idx="58">
                  <c:v>51.218559198778145</c:v>
                </c:pt>
                <c:pt idx="59">
                  <c:v>52.527180967391409</c:v>
                </c:pt>
                <c:pt idx="60">
                  <c:v>53.853175732704699</c:v>
                </c:pt>
                <c:pt idx="61">
                  <c:v>55.196528081651188</c:v>
                </c:pt>
                <c:pt idx="62">
                  <c:v>56.557222899779546</c:v>
                </c:pt>
                <c:pt idx="63">
                  <c:v>57.935245368443582</c:v>
                </c:pt>
                <c:pt idx="64">
                  <c:v>59.330580961310808</c:v>
                </c:pt>
                <c:pt idx="65">
                  <c:v>60.743215440242309</c:v>
                </c:pt>
                <c:pt idx="66">
                  <c:v>62.17313485065948</c:v>
                </c:pt>
                <c:pt idx="67">
                  <c:v>63.620325516442975</c:v>
                </c:pt>
                <c:pt idx="68">
                  <c:v>65.084774034447932</c:v>
                </c:pt>
                <c:pt idx="69">
                  <c:v>66.566467268724836</c:v>
                </c:pt>
                <c:pt idx="70">
                  <c:v>68.065392344480244</c:v>
                </c:pt>
                <c:pt idx="71">
                  <c:v>69.581536641860268</c:v>
                </c:pt>
                <c:pt idx="72">
                  <c:v>71.11488778962682</c:v>
                </c:pt>
                <c:pt idx="73">
                  <c:v>72.665433658722193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00-463E-8425-8AEE995614F8}"/>
            </c:ext>
          </c:extLst>
        </c:ser>
        <c:ser>
          <c:idx val="1"/>
          <c:order val="1"/>
          <c:tx>
            <c:strRef>
              <c:f>'60000'!$BI$65</c:f>
              <c:strCache>
                <c:ptCount val="1"/>
                <c:pt idx="0">
                  <c:v>Available AB Thrust, Klb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'60000'!$BG$80:$BG$154</c:f>
              <c:numCache>
                <c:formatCode>General</c:formatCode>
                <c:ptCount val="75"/>
                <c:pt idx="0">
                  <c:v>0.51010101010101006</c:v>
                </c:pt>
                <c:pt idx="1">
                  <c:v>0.53939393939393898</c:v>
                </c:pt>
                <c:pt idx="2">
                  <c:v>0.56868686868686902</c:v>
                </c:pt>
                <c:pt idx="3">
                  <c:v>0.59797979797979794</c:v>
                </c:pt>
                <c:pt idx="4">
                  <c:v>0.62727272727272698</c:v>
                </c:pt>
                <c:pt idx="5">
                  <c:v>0.65656565656565702</c:v>
                </c:pt>
                <c:pt idx="6">
                  <c:v>0.68585858585858595</c:v>
                </c:pt>
                <c:pt idx="7">
                  <c:v>0.71515151515151498</c:v>
                </c:pt>
                <c:pt idx="8">
                  <c:v>0.74444444444444402</c:v>
                </c:pt>
                <c:pt idx="9">
                  <c:v>0.77373737373737395</c:v>
                </c:pt>
                <c:pt idx="10">
                  <c:v>0.80303030303030298</c:v>
                </c:pt>
                <c:pt idx="11">
                  <c:v>0.83232323232323202</c:v>
                </c:pt>
                <c:pt idx="12">
                  <c:v>0.86161616161616195</c:v>
                </c:pt>
                <c:pt idx="13">
                  <c:v>0.89090909090909098</c:v>
                </c:pt>
                <c:pt idx="14">
                  <c:v>0.92020202020202002</c:v>
                </c:pt>
                <c:pt idx="15">
                  <c:v>0.94949494949494895</c:v>
                </c:pt>
                <c:pt idx="16">
                  <c:v>0.97878787878787898</c:v>
                </c:pt>
                <c:pt idx="17">
                  <c:v>1.0080808080807999</c:v>
                </c:pt>
                <c:pt idx="18">
                  <c:v>1.03737373737373</c:v>
                </c:pt>
                <c:pt idx="19">
                  <c:v>1.06666666666666</c:v>
                </c:pt>
                <c:pt idx="20">
                  <c:v>1.09595959595959</c:v>
                </c:pt>
                <c:pt idx="21">
                  <c:v>1.1252525252525201</c:v>
                </c:pt>
                <c:pt idx="22">
                  <c:v>1.1545454545454501</c:v>
                </c:pt>
                <c:pt idx="23">
                  <c:v>1.1838383838383799</c:v>
                </c:pt>
                <c:pt idx="24">
                  <c:v>1.21313131313131</c:v>
                </c:pt>
                <c:pt idx="25">
                  <c:v>1.24242424242424</c:v>
                </c:pt>
                <c:pt idx="26">
                  <c:v>1.27171717171717</c:v>
                </c:pt>
                <c:pt idx="27">
                  <c:v>1.3010101010101001</c:v>
                </c:pt>
                <c:pt idx="28">
                  <c:v>1.3303030303030301</c:v>
                </c:pt>
                <c:pt idx="29">
                  <c:v>1.3595959595959599</c:v>
                </c:pt>
                <c:pt idx="30">
                  <c:v>1.38888888888888</c:v>
                </c:pt>
                <c:pt idx="31">
                  <c:v>1.41818181818181</c:v>
                </c:pt>
                <c:pt idx="32">
                  <c:v>1.44747474747474</c:v>
                </c:pt>
                <c:pt idx="33">
                  <c:v>1.4767676767676701</c:v>
                </c:pt>
                <c:pt idx="34">
                  <c:v>1.5060606060606001</c:v>
                </c:pt>
                <c:pt idx="35">
                  <c:v>1.5353535353535299</c:v>
                </c:pt>
                <c:pt idx="36">
                  <c:v>1.56464646464646</c:v>
                </c:pt>
                <c:pt idx="37">
                  <c:v>1.59393939393939</c:v>
                </c:pt>
                <c:pt idx="38">
                  <c:v>1.62323232323232</c:v>
                </c:pt>
                <c:pt idx="39">
                  <c:v>1.6525252525252501</c:v>
                </c:pt>
                <c:pt idx="40">
                  <c:v>1.6818181818181801</c:v>
                </c:pt>
                <c:pt idx="41">
                  <c:v>1.7111111111111099</c:v>
                </c:pt>
                <c:pt idx="42">
                  <c:v>1.74040404040404</c:v>
                </c:pt>
                <c:pt idx="43">
                  <c:v>1.76969696969697</c:v>
                </c:pt>
                <c:pt idx="44">
                  <c:v>1.79898989898989</c:v>
                </c:pt>
                <c:pt idx="45">
                  <c:v>1.8282828282828201</c:v>
                </c:pt>
                <c:pt idx="46">
                  <c:v>1.8575757575757501</c:v>
                </c:pt>
                <c:pt idx="47">
                  <c:v>1.8868686868686799</c:v>
                </c:pt>
                <c:pt idx="48">
                  <c:v>1.91616161616161</c:v>
                </c:pt>
                <c:pt idx="49">
                  <c:v>1.94545454545454</c:v>
                </c:pt>
                <c:pt idx="50">
                  <c:v>1.97474747474747</c:v>
                </c:pt>
                <c:pt idx="51">
                  <c:v>2.0040404040404001</c:v>
                </c:pt>
                <c:pt idx="52">
                  <c:v>2.0333333333333301</c:v>
                </c:pt>
                <c:pt idx="53">
                  <c:v>2.0626262626262601</c:v>
                </c:pt>
                <c:pt idx="54">
                  <c:v>2.0919191919191902</c:v>
                </c:pt>
                <c:pt idx="55">
                  <c:v>2.1212121212121202</c:v>
                </c:pt>
                <c:pt idx="56">
                  <c:v>2.1505050505050498</c:v>
                </c:pt>
                <c:pt idx="57">
                  <c:v>2.1797979797979798</c:v>
                </c:pt>
                <c:pt idx="58">
                  <c:v>2.2090909090909001</c:v>
                </c:pt>
                <c:pt idx="59">
                  <c:v>2.2383838383838301</c:v>
                </c:pt>
                <c:pt idx="60">
                  <c:v>2.2676767676767602</c:v>
                </c:pt>
                <c:pt idx="61">
                  <c:v>2.2969696969696898</c:v>
                </c:pt>
                <c:pt idx="62">
                  <c:v>2.3262626262626198</c:v>
                </c:pt>
                <c:pt idx="63">
                  <c:v>2.3555555555555499</c:v>
                </c:pt>
                <c:pt idx="64">
                  <c:v>2.3848484848484799</c:v>
                </c:pt>
                <c:pt idx="65">
                  <c:v>2.4141414141414099</c:v>
                </c:pt>
                <c:pt idx="66">
                  <c:v>2.44343434343434</c:v>
                </c:pt>
                <c:pt idx="67">
                  <c:v>2.47272727272727</c:v>
                </c:pt>
                <c:pt idx="68">
                  <c:v>2.5020202020202</c:v>
                </c:pt>
                <c:pt idx="69">
                  <c:v>2.5313131313131301</c:v>
                </c:pt>
                <c:pt idx="70">
                  <c:v>2.5606060606060601</c:v>
                </c:pt>
                <c:pt idx="71">
                  <c:v>2.5898989898989901</c:v>
                </c:pt>
                <c:pt idx="72">
                  <c:v>2.61919191919191</c:v>
                </c:pt>
                <c:pt idx="73">
                  <c:v>2.64848484848484</c:v>
                </c:pt>
                <c:pt idx="74">
                  <c:v>2.67777777777777</c:v>
                </c:pt>
              </c:numCache>
            </c:numRef>
          </c:xVal>
          <c:yVal>
            <c:numRef>
              <c:f>'60000'!$BI$80:$BI$154</c:f>
              <c:numCache>
                <c:formatCode>General</c:formatCode>
                <c:ptCount val="75"/>
                <c:pt idx="0">
                  <c:v>17.953659087814952</c:v>
                </c:pt>
                <c:pt idx="1">
                  <c:v>18.133480126073923</c:v>
                </c:pt>
                <c:pt idx="2">
                  <c:v>18.331600756453664</c:v>
                </c:pt>
                <c:pt idx="3">
                  <c:v>18.548180987079753</c:v>
                </c:pt>
                <c:pt idx="4">
                  <c:v>18.783405599935296</c:v>
                </c:pt>
                <c:pt idx="5">
                  <c:v>19.03748295878389</c:v>
                </c:pt>
                <c:pt idx="6">
                  <c:v>19.310643796202719</c:v>
                </c:pt>
                <c:pt idx="7">
                  <c:v>19.60313997147281</c:v>
                </c:pt>
                <c:pt idx="8">
                  <c:v>19.91524319094324</c:v>
                </c:pt>
                <c:pt idx="9">
                  <c:v>20.247243682342575</c:v>
                </c:pt>
                <c:pt idx="10">
                  <c:v>20.599448814355878</c:v>
                </c:pt>
                <c:pt idx="11">
                  <c:v>20.972181652618431</c:v>
                </c:pt>
                <c:pt idx="12">
                  <c:v>21.365779443098912</c:v>
                </c:pt>
                <c:pt idx="13">
                  <c:v>21.780592013655134</c:v>
                </c:pt>
                <c:pt idx="14">
                  <c:v>22.216980084345401</c:v>
                </c:pt>
                <c:pt idx="15">
                  <c:v>22.675313476867689</c:v>
                </c:pt>
                <c:pt idx="16">
                  <c:v>23.155969213277984</c:v>
                </c:pt>
                <c:pt idx="17">
                  <c:v>23.659329493908828</c:v>
                </c:pt>
                <c:pt idx="18">
                  <c:v>24.185779544170416</c:v>
                </c:pt>
                <c:pt idx="19">
                  <c:v>24.735705319664028</c:v>
                </c:pt>
                <c:pt idx="20">
                  <c:v>25.309491058786563</c:v>
                </c:pt>
                <c:pt idx="21">
                  <c:v>25.907516671732946</c:v>
                </c:pt>
                <c:pt idx="22">
                  <c:v>26.530154954533373</c:v>
                </c:pt>
                <c:pt idx="23">
                  <c:v>27.177768616479842</c:v>
                </c:pt>
                <c:pt idx="24">
                  <c:v>28.152962801323568</c:v>
                </c:pt>
                <c:pt idx="25">
                  <c:v>28.734951795785516</c:v>
                </c:pt>
                <c:pt idx="26">
                  <c:v>29.333092143322283</c:v>
                </c:pt>
                <c:pt idx="27">
                  <c:v>29.946985473462775</c:v>
                </c:pt>
                <c:pt idx="28">
                  <c:v>30.576165670179122</c:v>
                </c:pt>
                <c:pt idx="29">
                  <c:v>31.220092655666473</c:v>
                </c:pt>
                <c:pt idx="30">
                  <c:v>31.878145830573292</c:v>
                </c:pt>
                <c:pt idx="31">
                  <c:v>32.549617155176655</c:v>
                </c:pt>
                <c:pt idx="32">
                  <c:v>33.233703855648024</c:v>
                </c:pt>
                <c:pt idx="33">
                  <c:v>33.92950073921547</c:v>
                </c:pt>
                <c:pt idx="34">
                  <c:v>34.63599210166808</c:v>
                </c:pt>
                <c:pt idx="35">
                  <c:v>35.352043210298014</c:v>
                </c:pt>
                <c:pt idx="36">
                  <c:v>36.076391345014862</c:v>
                </c:pt>
                <c:pt idx="37">
                  <c:v>36.807636380004908</c:v>
                </c:pt>
                <c:pt idx="38">
                  <c:v>37.544230887942668</c:v>
                </c:pt>
                <c:pt idx="39">
                  <c:v>38.284469748393434</c:v>
                </c:pt>
                <c:pt idx="40">
                  <c:v>39.026479241674579</c:v>
                </c:pt>
                <c:pt idx="41">
                  <c:v>39.768205609069639</c:v>
                </c:pt>
                <c:pt idx="42">
                  <c:v>40.507403059912413</c:v>
                </c:pt>
                <c:pt idx="43">
                  <c:v>41.241621205679991</c:v>
                </c:pt>
                <c:pt idx="44">
                  <c:v>41.968191900852972</c:v>
                </c:pt>
                <c:pt idx="45">
                  <c:v>42.684215469918499</c:v>
                </c:pt>
                <c:pt idx="46">
                  <c:v>43.386546299502974</c:v>
                </c:pt>
                <c:pt idx="47">
                  <c:v>44.071777774242413</c:v>
                </c:pt>
                <c:pt idx="48">
                  <c:v>44.736226534601094</c:v>
                </c:pt>
                <c:pt idx="49">
                  <c:v>45.375916034464446</c:v>
                </c:pt>
                <c:pt idx="50">
                  <c:v>45.986559375938562</c:v>
                </c:pt>
                <c:pt idx="51">
                  <c:v>46.563541398395017</c:v>
                </c:pt>
                <c:pt idx="52">
                  <c:v>47.101899998406203</c:v>
                </c:pt>
                <c:pt idx="53">
                  <c:v>47.59630665681901</c:v>
                </c:pt>
                <c:pt idx="54">
                  <c:v>48.041046148819234</c:v>
                </c:pt>
                <c:pt idx="55">
                  <c:v>48.42999541243838</c:v>
                </c:pt>
                <c:pt idx="56">
                  <c:v>48.756601550558088</c:v>
                </c:pt>
                <c:pt idx="57">
                  <c:v>49.013858941064314</c:v>
                </c:pt>
                <c:pt idx="58">
                  <c:v>49.194285429403159</c:v>
                </c:pt>
                <c:pt idx="59">
                  <c:v>49.289897577388956</c:v>
                </c:pt>
                <c:pt idx="60">
                  <c:v>49.29218494170933</c:v>
                </c:pt>
                <c:pt idx="61">
                  <c:v>49.192083355171441</c:v>
                </c:pt>
                <c:pt idx="62">
                  <c:v>48.979947183326097</c:v>
                </c:pt>
                <c:pt idx="63">
                  <c:v>48.645520528702868</c:v>
                </c:pt>
                <c:pt idx="64">
                  <c:v>48.177907354482684</c:v>
                </c:pt>
                <c:pt idx="65">
                  <c:v>47.565540499026937</c:v>
                </c:pt>
                <c:pt idx="66">
                  <c:v>46.796149552277001</c:v>
                </c:pt>
                <c:pt idx="67">
                  <c:v>45.856727564627789</c:v>
                </c:pt>
                <c:pt idx="68">
                  <c:v>44.733496558472993</c:v>
                </c:pt>
                <c:pt idx="69">
                  <c:v>43.411871812208929</c:v>
                </c:pt>
                <c:pt idx="70">
                  <c:v>41.876424886076343</c:v>
                </c:pt>
                <c:pt idx="71">
                  <c:v>40.110845358808547</c:v>
                </c:pt>
                <c:pt idx="72">
                  <c:v>38.097901243646099</c:v>
                </c:pt>
                <c:pt idx="73">
                  <c:v>35.819398051862066</c:v>
                </c:pt>
                <c:pt idx="74">
                  <c:v>33.256136471545858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00-463E-8425-8AEE995614F8}"/>
            </c:ext>
          </c:extLst>
        </c:ser>
        <c:ser>
          <c:idx val="2"/>
          <c:order val="2"/>
          <c:tx>
            <c:v>Boomless Cruise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'60000'!$BJ$66:$BJ$67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1.1000000000000001</c:v>
                </c:pt>
              </c:numCache>
            </c:numRef>
          </c:xVal>
          <c:yVal>
            <c:numRef>
              <c:f>'60000'!$BK$66:$BK$67</c:f>
              <c:numCache>
                <c:formatCode>General</c:formatCode>
                <c:ptCount val="2"/>
                <c:pt idx="0">
                  <c:v>0</c:v>
                </c:pt>
                <c:pt idx="1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CF-4A1F-B089-100D252FF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828272"/>
        <c:axId val="1057830672"/>
      </c:scatterChart>
      <c:valAx>
        <c:axId val="105782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30672"/>
        <c:crosses val="autoZero"/>
        <c:crossBetween val="midCat"/>
      </c:valAx>
      <c:valAx>
        <c:axId val="105783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(Klb)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28272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</a:t>
            </a:r>
            <a:r>
              <a:rPr lang="en-US" baseline="0"/>
              <a:t> vs Mach at OEI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Required Thrust, Klb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'60000'!$BN$88:$BN$149</c:f>
              <c:numCache>
                <c:formatCode>General</c:formatCode>
                <c:ptCount val="62"/>
                <c:pt idx="0">
                  <c:v>0.71515151515151498</c:v>
                </c:pt>
                <c:pt idx="1">
                  <c:v>0.74444444444444402</c:v>
                </c:pt>
                <c:pt idx="2">
                  <c:v>0.77373737373737395</c:v>
                </c:pt>
                <c:pt idx="3">
                  <c:v>0.80303030303030298</c:v>
                </c:pt>
                <c:pt idx="4">
                  <c:v>0.83232323232323202</c:v>
                </c:pt>
                <c:pt idx="5">
                  <c:v>0.86161616161616195</c:v>
                </c:pt>
                <c:pt idx="6">
                  <c:v>0.89090909090909098</c:v>
                </c:pt>
                <c:pt idx="7">
                  <c:v>0.92020202020202002</c:v>
                </c:pt>
                <c:pt idx="8">
                  <c:v>0.94949494949494895</c:v>
                </c:pt>
                <c:pt idx="9">
                  <c:v>0.97878787878787898</c:v>
                </c:pt>
                <c:pt idx="10">
                  <c:v>1.0080808080807999</c:v>
                </c:pt>
                <c:pt idx="11">
                  <c:v>1.03737373737373</c:v>
                </c:pt>
                <c:pt idx="12">
                  <c:v>1.06666666666666</c:v>
                </c:pt>
                <c:pt idx="13">
                  <c:v>1.09595959595959</c:v>
                </c:pt>
                <c:pt idx="14">
                  <c:v>1.1252525252525201</c:v>
                </c:pt>
                <c:pt idx="15">
                  <c:v>1.1545454545454501</c:v>
                </c:pt>
                <c:pt idx="16">
                  <c:v>1.1838383838383799</c:v>
                </c:pt>
                <c:pt idx="17">
                  <c:v>1.21313131313131</c:v>
                </c:pt>
                <c:pt idx="18">
                  <c:v>1.24242424242424</c:v>
                </c:pt>
                <c:pt idx="19">
                  <c:v>1.27171717171717</c:v>
                </c:pt>
                <c:pt idx="20">
                  <c:v>1.3010101010101001</c:v>
                </c:pt>
                <c:pt idx="21">
                  <c:v>1.3303030303030301</c:v>
                </c:pt>
                <c:pt idx="22">
                  <c:v>1.3595959595959599</c:v>
                </c:pt>
                <c:pt idx="23">
                  <c:v>1.38888888888888</c:v>
                </c:pt>
                <c:pt idx="24">
                  <c:v>1.41818181818181</c:v>
                </c:pt>
                <c:pt idx="25">
                  <c:v>1.44747474747474</c:v>
                </c:pt>
                <c:pt idx="26">
                  <c:v>1.4767676767676701</c:v>
                </c:pt>
                <c:pt idx="27">
                  <c:v>1.5060606060606001</c:v>
                </c:pt>
                <c:pt idx="28">
                  <c:v>1.5353535353535299</c:v>
                </c:pt>
                <c:pt idx="29">
                  <c:v>1.56464646464646</c:v>
                </c:pt>
                <c:pt idx="30">
                  <c:v>1.59393939393939</c:v>
                </c:pt>
                <c:pt idx="31">
                  <c:v>1.62323232323232</c:v>
                </c:pt>
                <c:pt idx="32">
                  <c:v>1.6525252525252501</c:v>
                </c:pt>
                <c:pt idx="33">
                  <c:v>1.6818181818181801</c:v>
                </c:pt>
                <c:pt idx="34">
                  <c:v>1.7111111111111099</c:v>
                </c:pt>
                <c:pt idx="35">
                  <c:v>1.74040404040404</c:v>
                </c:pt>
                <c:pt idx="36">
                  <c:v>1.76969696969697</c:v>
                </c:pt>
                <c:pt idx="37">
                  <c:v>1.79898989898989</c:v>
                </c:pt>
                <c:pt idx="38">
                  <c:v>1.8282828282828201</c:v>
                </c:pt>
                <c:pt idx="39">
                  <c:v>1.8575757575757501</c:v>
                </c:pt>
                <c:pt idx="40">
                  <c:v>1.8868686868686799</c:v>
                </c:pt>
                <c:pt idx="41">
                  <c:v>1.91616161616161</c:v>
                </c:pt>
                <c:pt idx="42">
                  <c:v>1.94545454545454</c:v>
                </c:pt>
                <c:pt idx="43">
                  <c:v>1.97474747474747</c:v>
                </c:pt>
                <c:pt idx="44">
                  <c:v>2.0040404040404001</c:v>
                </c:pt>
                <c:pt idx="45">
                  <c:v>2.0333333333333301</c:v>
                </c:pt>
                <c:pt idx="46">
                  <c:v>2.0626262626262601</c:v>
                </c:pt>
                <c:pt idx="47">
                  <c:v>2.0919191919191902</c:v>
                </c:pt>
                <c:pt idx="48">
                  <c:v>2.1212121212121202</c:v>
                </c:pt>
                <c:pt idx="49">
                  <c:v>2.1505050505050498</c:v>
                </c:pt>
                <c:pt idx="50">
                  <c:v>2.1797979797979798</c:v>
                </c:pt>
                <c:pt idx="51">
                  <c:v>2.2090909090909001</c:v>
                </c:pt>
                <c:pt idx="52">
                  <c:v>2.2383838383838301</c:v>
                </c:pt>
                <c:pt idx="53">
                  <c:v>2.2676767676767602</c:v>
                </c:pt>
                <c:pt idx="54">
                  <c:v>2.2969696969696898</c:v>
                </c:pt>
                <c:pt idx="55">
                  <c:v>2.3262626262626198</c:v>
                </c:pt>
                <c:pt idx="56">
                  <c:v>2.3555555555555499</c:v>
                </c:pt>
                <c:pt idx="57">
                  <c:v>2.3848484848484799</c:v>
                </c:pt>
                <c:pt idx="58">
                  <c:v>2.4141414141414099</c:v>
                </c:pt>
                <c:pt idx="59">
                  <c:v>2.44343434343434</c:v>
                </c:pt>
                <c:pt idx="60">
                  <c:v>2.47272727272727</c:v>
                </c:pt>
                <c:pt idx="61">
                  <c:v>2.5020202020202</c:v>
                </c:pt>
              </c:numCache>
            </c:numRef>
          </c:xVal>
          <c:yVal>
            <c:numRef>
              <c:f>'60000'!$BO$88:$BO$149</c:f>
              <c:numCache>
                <c:formatCode>General</c:formatCode>
                <c:ptCount val="62"/>
                <c:pt idx="0">
                  <c:v>38.736071133656921</c:v>
                </c:pt>
                <c:pt idx="1">
                  <c:v>36.175490319216671</c:v>
                </c:pt>
                <c:pt idx="2">
                  <c:v>33.943782230093866</c:v>
                </c:pt>
                <c:pt idx="3">
                  <c:v>31.9955005775162</c:v>
                </c:pt>
                <c:pt idx="4">
                  <c:v>30.293052849473892</c:v>
                </c:pt>
                <c:pt idx="5">
                  <c:v>28.80512617261925</c:v>
                </c:pt>
                <c:pt idx="6">
                  <c:v>27.505469334618027</c:v>
                </c:pt>
                <c:pt idx="7">
                  <c:v>25</c:v>
                </c:pt>
                <c:pt idx="8">
                  <c:v>20</c:v>
                </c:pt>
                <c:pt idx="9">
                  <c:v>16</c:v>
                </c:pt>
                <c:pt idx="10">
                  <c:v>13</c:v>
                </c:pt>
                <c:pt idx="11">
                  <c:v>12</c:v>
                </c:pt>
                <c:pt idx="12">
                  <c:v>11.967627491637737</c:v>
                </c:pt>
                <c:pt idx="13">
                  <c:v>11.575747108453774</c:v>
                </c:pt>
                <c:pt idx="14">
                  <c:v>11.741615485184798</c:v>
                </c:pt>
                <c:pt idx="15">
                  <c:v>12.055246362732321</c:v>
                </c:pt>
                <c:pt idx="16">
                  <c:v>12.430498111961249</c:v>
                </c:pt>
                <c:pt idx="17">
                  <c:v>12.83937192785398</c:v>
                </c:pt>
                <c:pt idx="18">
                  <c:v>13.270613552726944</c:v>
                </c:pt>
                <c:pt idx="19">
                  <c:v>13.719107278868449</c:v>
                </c:pt>
                <c:pt idx="20">
                  <c:v>14.18234556218005</c:v>
                </c:pt>
                <c:pt idx="21">
                  <c:v>15.402960138481879</c:v>
                </c:pt>
                <c:pt idx="22">
                  <c:v>15.905918552021621</c:v>
                </c:pt>
                <c:pt idx="23">
                  <c:v>16.425998881233628</c:v>
                </c:pt>
                <c:pt idx="24">
                  <c:v>16.960475863310375</c:v>
                </c:pt>
                <c:pt idx="25">
                  <c:v>17.508458156307658</c:v>
                </c:pt>
                <c:pt idx="26">
                  <c:v>18.069538144451364</c:v>
                </c:pt>
                <c:pt idx="27">
                  <c:v>18.643501352264224</c:v>
                </c:pt>
                <c:pt idx="28">
                  <c:v>19.230225456954372</c:v>
                </c:pt>
                <c:pt idx="29">
                  <c:v>19.829636300262209</c:v>
                </c:pt>
                <c:pt idx="30">
                  <c:v>20.441686112385501</c:v>
                </c:pt>
                <c:pt idx="31">
                  <c:v>21.06634186309272</c:v>
                </c:pt>
                <c:pt idx="32">
                  <c:v>21.703578727081123</c:v>
                </c:pt>
                <c:pt idx="33">
                  <c:v>22.3533763168662</c:v>
                </c:pt>
                <c:pt idx="34">
                  <c:v>23.015716486176757</c:v>
                </c:pt>
                <c:pt idx="35">
                  <c:v>23.69058205397986</c:v>
                </c:pt>
                <c:pt idx="36">
                  <c:v>24.377956079642196</c:v>
                </c:pt>
                <c:pt idx="37">
                  <c:v>25.077821471834898</c:v>
                </c:pt>
                <c:pt idx="38">
                  <c:v>25.790160799998436</c:v>
                </c:pt>
                <c:pt idx="39">
                  <c:v>26.514956227749298</c:v>
                </c:pt>
                <c:pt idx="40">
                  <c:v>27.252189518103375</c:v>
                </c:pt>
                <c:pt idx="41">
                  <c:v>28.001842079155679</c:v>
                </c:pt>
                <c:pt idx="42">
                  <c:v>28.763895030598025</c:v>
                </c:pt>
                <c:pt idx="43">
                  <c:v>29.538329278899567</c:v>
                </c:pt>
                <c:pt idx="44">
                  <c:v>30.325125593712052</c:v>
                </c:pt>
                <c:pt idx="45">
                  <c:v>31.124264681116117</c:v>
                </c:pt>
                <c:pt idx="46">
                  <c:v>31.935727251251684</c:v>
                </c:pt>
                <c:pt idx="47">
                  <c:v>32.759494079147558</c:v>
                </c:pt>
                <c:pt idx="48">
                  <c:v>33.595546058319307</c:v>
                </c:pt>
                <c:pt idx="49">
                  <c:v>34.443864247191776</c:v>
                </c:pt>
                <c:pt idx="50">
                  <c:v>35.304429908697351</c:v>
                </c:pt>
                <c:pt idx="51">
                  <c:v>36.177224543539126</c:v>
                </c:pt>
                <c:pt idx="52">
                  <c:v>37.062229917694197</c:v>
                </c:pt>
                <c:pt idx="53">
                  <c:v>37.959428084758819</c:v>
                </c:pt>
                <c:pt idx="54">
                  <c:v>38.868801403700367</c:v>
                </c:pt>
                <c:pt idx="55">
                  <c:v>39.790332552586996</c:v>
                </c:pt>
                <c:pt idx="56">
                  <c:v>40.724004538800877</c:v>
                </c:pt>
                <c:pt idx="57">
                  <c:v>41.669800706205919</c:v>
                </c:pt>
                <c:pt idx="58">
                  <c:v>42.627704739679842</c:v>
                </c:pt>
                <c:pt idx="59">
                  <c:v>43.597700667413491</c:v>
                </c:pt>
                <c:pt idx="60">
                  <c:v>44.579772861290103</c:v>
                </c:pt>
                <c:pt idx="61">
                  <c:v>45.573906035644228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A6-4AE4-9E3A-36204ACBB249}"/>
            </c:ext>
          </c:extLst>
        </c:ser>
        <c:ser>
          <c:idx val="1"/>
          <c:order val="1"/>
          <c:tx>
            <c:v>Available Dry Thrust, Klb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'60000'!$BN$88:$BN$149</c:f>
              <c:numCache>
                <c:formatCode>General</c:formatCode>
                <c:ptCount val="62"/>
                <c:pt idx="0">
                  <c:v>0.71515151515151498</c:v>
                </c:pt>
                <c:pt idx="1">
                  <c:v>0.74444444444444402</c:v>
                </c:pt>
                <c:pt idx="2">
                  <c:v>0.77373737373737395</c:v>
                </c:pt>
                <c:pt idx="3">
                  <c:v>0.80303030303030298</c:v>
                </c:pt>
                <c:pt idx="4">
                  <c:v>0.83232323232323202</c:v>
                </c:pt>
                <c:pt idx="5">
                  <c:v>0.86161616161616195</c:v>
                </c:pt>
                <c:pt idx="6">
                  <c:v>0.89090909090909098</c:v>
                </c:pt>
                <c:pt idx="7">
                  <c:v>0.92020202020202002</c:v>
                </c:pt>
                <c:pt idx="8">
                  <c:v>0.94949494949494895</c:v>
                </c:pt>
                <c:pt idx="9">
                  <c:v>0.97878787878787898</c:v>
                </c:pt>
                <c:pt idx="10">
                  <c:v>1.0080808080807999</c:v>
                </c:pt>
                <c:pt idx="11">
                  <c:v>1.03737373737373</c:v>
                </c:pt>
                <c:pt idx="12">
                  <c:v>1.06666666666666</c:v>
                </c:pt>
                <c:pt idx="13">
                  <c:v>1.09595959595959</c:v>
                </c:pt>
                <c:pt idx="14">
                  <c:v>1.1252525252525201</c:v>
                </c:pt>
                <c:pt idx="15">
                  <c:v>1.1545454545454501</c:v>
                </c:pt>
                <c:pt idx="16">
                  <c:v>1.1838383838383799</c:v>
                </c:pt>
                <c:pt idx="17">
                  <c:v>1.21313131313131</c:v>
                </c:pt>
                <c:pt idx="18">
                  <c:v>1.24242424242424</c:v>
                </c:pt>
                <c:pt idx="19">
                  <c:v>1.27171717171717</c:v>
                </c:pt>
                <c:pt idx="20">
                  <c:v>1.3010101010101001</c:v>
                </c:pt>
                <c:pt idx="21">
                  <c:v>1.3303030303030301</c:v>
                </c:pt>
                <c:pt idx="22">
                  <c:v>1.3595959595959599</c:v>
                </c:pt>
                <c:pt idx="23">
                  <c:v>1.38888888888888</c:v>
                </c:pt>
                <c:pt idx="24">
                  <c:v>1.41818181818181</c:v>
                </c:pt>
                <c:pt idx="25">
                  <c:v>1.44747474747474</c:v>
                </c:pt>
                <c:pt idx="26">
                  <c:v>1.4767676767676701</c:v>
                </c:pt>
                <c:pt idx="27">
                  <c:v>1.5060606060606001</c:v>
                </c:pt>
                <c:pt idx="28">
                  <c:v>1.5353535353535299</c:v>
                </c:pt>
                <c:pt idx="29">
                  <c:v>1.56464646464646</c:v>
                </c:pt>
                <c:pt idx="30">
                  <c:v>1.59393939393939</c:v>
                </c:pt>
                <c:pt idx="31">
                  <c:v>1.62323232323232</c:v>
                </c:pt>
                <c:pt idx="32">
                  <c:v>1.6525252525252501</c:v>
                </c:pt>
                <c:pt idx="33">
                  <c:v>1.6818181818181801</c:v>
                </c:pt>
                <c:pt idx="34">
                  <c:v>1.7111111111111099</c:v>
                </c:pt>
                <c:pt idx="35">
                  <c:v>1.74040404040404</c:v>
                </c:pt>
                <c:pt idx="36">
                  <c:v>1.76969696969697</c:v>
                </c:pt>
                <c:pt idx="37">
                  <c:v>1.79898989898989</c:v>
                </c:pt>
                <c:pt idx="38">
                  <c:v>1.8282828282828201</c:v>
                </c:pt>
                <c:pt idx="39">
                  <c:v>1.8575757575757501</c:v>
                </c:pt>
                <c:pt idx="40">
                  <c:v>1.8868686868686799</c:v>
                </c:pt>
                <c:pt idx="41">
                  <c:v>1.91616161616161</c:v>
                </c:pt>
                <c:pt idx="42">
                  <c:v>1.94545454545454</c:v>
                </c:pt>
                <c:pt idx="43">
                  <c:v>1.97474747474747</c:v>
                </c:pt>
                <c:pt idx="44">
                  <c:v>2.0040404040404001</c:v>
                </c:pt>
                <c:pt idx="45">
                  <c:v>2.0333333333333301</c:v>
                </c:pt>
                <c:pt idx="46">
                  <c:v>2.0626262626262601</c:v>
                </c:pt>
                <c:pt idx="47">
                  <c:v>2.0919191919191902</c:v>
                </c:pt>
                <c:pt idx="48">
                  <c:v>2.1212121212121202</c:v>
                </c:pt>
                <c:pt idx="49">
                  <c:v>2.1505050505050498</c:v>
                </c:pt>
                <c:pt idx="50">
                  <c:v>2.1797979797979798</c:v>
                </c:pt>
                <c:pt idx="51">
                  <c:v>2.2090909090909001</c:v>
                </c:pt>
                <c:pt idx="52">
                  <c:v>2.2383838383838301</c:v>
                </c:pt>
                <c:pt idx="53">
                  <c:v>2.2676767676767602</c:v>
                </c:pt>
                <c:pt idx="54">
                  <c:v>2.2969696969696898</c:v>
                </c:pt>
                <c:pt idx="55">
                  <c:v>2.3262626262626198</c:v>
                </c:pt>
                <c:pt idx="56">
                  <c:v>2.3555555555555499</c:v>
                </c:pt>
                <c:pt idx="57">
                  <c:v>2.3848484848484799</c:v>
                </c:pt>
                <c:pt idx="58">
                  <c:v>2.4141414141414099</c:v>
                </c:pt>
                <c:pt idx="59">
                  <c:v>2.44343434343434</c:v>
                </c:pt>
                <c:pt idx="60">
                  <c:v>2.47272727272727</c:v>
                </c:pt>
                <c:pt idx="61">
                  <c:v>2.5020202020202</c:v>
                </c:pt>
              </c:numCache>
            </c:numRef>
          </c:xVal>
          <c:yVal>
            <c:numRef>
              <c:f>'60000'!$BP$88:$BP$149</c:f>
              <c:numCache>
                <c:formatCode>General</c:formatCode>
                <c:ptCount val="62"/>
                <c:pt idx="0">
                  <c:v>10.806733840459517</c:v>
                </c:pt>
                <c:pt idx="1">
                  <c:v>10.978788747401754</c:v>
                </c:pt>
                <c:pt idx="2">
                  <c:v>11.161812535972134</c:v>
                </c:pt>
                <c:pt idx="3">
                  <c:v>11.355974651044034</c:v>
                </c:pt>
                <c:pt idx="4">
                  <c:v>11.56145319083736</c:v>
                </c:pt>
                <c:pt idx="5">
                  <c:v>11.778434070844616</c:v>
                </c:pt>
                <c:pt idx="6">
                  <c:v>12.007110142647466</c:v>
                </c:pt>
                <c:pt idx="7">
                  <c:v>12.247680262432574</c:v>
                </c:pt>
                <c:pt idx="8">
                  <c:v>12.500348303898946</c:v>
                </c:pt>
                <c:pt idx="9">
                  <c:v>12.765322110127697</c:v>
                </c:pt>
                <c:pt idx="10">
                  <c:v>13.042812378857736</c:v>
                </c:pt>
                <c:pt idx="11">
                  <c:v>13.333031475479634</c:v>
                </c:pt>
                <c:pt idx="12">
                  <c:v>13.636192167920544</c:v>
                </c:pt>
                <c:pt idx="13">
                  <c:v>13.952506277454635</c:v>
                </c:pt>
                <c:pt idx="14">
                  <c:v>14.282183239323706</c:v>
                </c:pt>
                <c:pt idx="15">
                  <c:v>14.625428566903715</c:v>
                </c:pt>
                <c:pt idx="16">
                  <c:v>14.982442212997423</c:v>
                </c:pt>
                <c:pt idx="17">
                  <c:v>15.553368267618286</c:v>
                </c:pt>
                <c:pt idx="18">
                  <c:v>15.840879391127345</c:v>
                </c:pt>
                <c:pt idx="19">
                  <c:v>16.170619603382949</c:v>
                </c:pt>
                <c:pt idx="20">
                  <c:v>16.509044051451777</c:v>
                </c:pt>
                <c:pt idx="21">
                  <c:v>16.855895776914952</c:v>
                </c:pt>
                <c:pt idx="22">
                  <c:v>17.210877048026507</c:v>
                </c:pt>
                <c:pt idx="23">
                  <c:v>17.573645743472042</c:v>
                </c:pt>
                <c:pt idx="24">
                  <c:v>17.943811538189067</c:v>
                </c:pt>
                <c:pt idx="25">
                  <c:v>18.32093188250893</c:v>
                </c:pt>
                <c:pt idx="26">
                  <c:v>18.704507765692792</c:v>
                </c:pt>
                <c:pt idx="27">
                  <c:v>19.093979254735853</c:v>
                </c:pt>
                <c:pt idx="28">
                  <c:v>19.4887207991206</c:v>
                </c:pt>
                <c:pt idx="29">
                  <c:v>19.888036292001313</c:v>
                </c:pt>
                <c:pt idx="30">
                  <c:v>20.291153878102051</c:v>
                </c:pt>
                <c:pt idx="31">
                  <c:v>20.697220498409383</c:v>
                </c:pt>
                <c:pt idx="32">
                  <c:v>21.105296161537723</c:v>
                </c:pt>
                <c:pt idx="33">
                  <c:v>21.51434793144054</c:v>
                </c:pt>
                <c:pt idx="34">
                  <c:v>21.923243620934876</c:v>
                </c:pt>
                <c:pt idx="35">
                  <c:v>22.330745180298777</c:v>
                </c:pt>
                <c:pt idx="36">
                  <c:v>22.735501769992702</c:v>
                </c:pt>
                <c:pt idx="37">
                  <c:v>23.136042506346072</c:v>
                </c:pt>
                <c:pt idx="38">
                  <c:v>23.530768868839406</c:v>
                </c:pt>
                <c:pt idx="39">
                  <c:v>23.917946757397754</c:v>
                </c:pt>
                <c:pt idx="40">
                  <c:v>24.295698187902808</c:v>
                </c:pt>
                <c:pt idx="41">
                  <c:v>24.661992613911536</c:v>
                </c:pt>
                <c:pt idx="42">
                  <c:v>25.014637862357453</c:v>
                </c:pt>
                <c:pt idx="43">
                  <c:v>25.351270670793379</c:v>
                </c:pt>
                <c:pt idx="44">
                  <c:v>25.669346813518004</c:v>
                </c:pt>
                <c:pt idx="45">
                  <c:v>25.966130803710886</c:v>
                </c:pt>
                <c:pt idx="46">
                  <c:v>26.238685158482287</c:v>
                </c:pt>
                <c:pt idx="47">
                  <c:v>26.483859213525598</c:v>
                </c:pt>
                <c:pt idx="48">
                  <c:v>26.698277473839589</c:v>
                </c:pt>
                <c:pt idx="49">
                  <c:v>26.878327486768956</c:v>
                </c:pt>
                <c:pt idx="50">
                  <c:v>27.020147223389611</c:v>
                </c:pt>
                <c:pt idx="51">
                  <c:v>27.119611954044196</c:v>
                </c:pt>
                <c:pt idx="52">
                  <c:v>27.172320603612619</c:v>
                </c:pt>
                <c:pt idx="53">
                  <c:v>27.173581571878028</c:v>
                </c:pt>
                <c:pt idx="54">
                  <c:v>27.118398004128323</c:v>
                </c:pt>
                <c:pt idx="55">
                  <c:v>27.001452496908424</c:v>
                </c:pt>
                <c:pt idx="56">
                  <c:v>26.817091223616092</c:v>
                </c:pt>
                <c:pt idx="57">
                  <c:v>26.559307464409976</c:v>
                </c:pt>
                <c:pt idx="58">
                  <c:v>26.221724524673807</c:v>
                </c:pt>
                <c:pt idx="59">
                  <c:v>25.797578026057487</c:v>
                </c:pt>
                <c:pt idx="60">
                  <c:v>25.279697553889559</c:v>
                </c:pt>
                <c:pt idx="61">
                  <c:v>24.660487644531628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A6-4AE4-9E3A-36204ACBB249}"/>
            </c:ext>
          </c:extLst>
        </c:ser>
        <c:ser>
          <c:idx val="2"/>
          <c:order val="2"/>
          <c:tx>
            <c:v>Available AB Thrust, Klb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'60000'!$BN$88:$BN$149</c:f>
              <c:numCache>
                <c:formatCode>General</c:formatCode>
                <c:ptCount val="62"/>
                <c:pt idx="0">
                  <c:v>0.71515151515151498</c:v>
                </c:pt>
                <c:pt idx="1">
                  <c:v>0.74444444444444402</c:v>
                </c:pt>
                <c:pt idx="2">
                  <c:v>0.77373737373737395</c:v>
                </c:pt>
                <c:pt idx="3">
                  <c:v>0.80303030303030298</c:v>
                </c:pt>
                <c:pt idx="4">
                  <c:v>0.83232323232323202</c:v>
                </c:pt>
                <c:pt idx="5">
                  <c:v>0.86161616161616195</c:v>
                </c:pt>
                <c:pt idx="6">
                  <c:v>0.89090909090909098</c:v>
                </c:pt>
                <c:pt idx="7">
                  <c:v>0.92020202020202002</c:v>
                </c:pt>
                <c:pt idx="8">
                  <c:v>0.94949494949494895</c:v>
                </c:pt>
                <c:pt idx="9">
                  <c:v>0.97878787878787898</c:v>
                </c:pt>
                <c:pt idx="10">
                  <c:v>1.0080808080807999</c:v>
                </c:pt>
                <c:pt idx="11">
                  <c:v>1.03737373737373</c:v>
                </c:pt>
                <c:pt idx="12">
                  <c:v>1.06666666666666</c:v>
                </c:pt>
                <c:pt idx="13">
                  <c:v>1.09595959595959</c:v>
                </c:pt>
                <c:pt idx="14">
                  <c:v>1.1252525252525201</c:v>
                </c:pt>
                <c:pt idx="15">
                  <c:v>1.1545454545454501</c:v>
                </c:pt>
                <c:pt idx="16">
                  <c:v>1.1838383838383799</c:v>
                </c:pt>
                <c:pt idx="17">
                  <c:v>1.21313131313131</c:v>
                </c:pt>
                <c:pt idx="18">
                  <c:v>1.24242424242424</c:v>
                </c:pt>
                <c:pt idx="19">
                  <c:v>1.27171717171717</c:v>
                </c:pt>
                <c:pt idx="20">
                  <c:v>1.3010101010101001</c:v>
                </c:pt>
                <c:pt idx="21">
                  <c:v>1.3303030303030301</c:v>
                </c:pt>
                <c:pt idx="22">
                  <c:v>1.3595959595959599</c:v>
                </c:pt>
                <c:pt idx="23">
                  <c:v>1.38888888888888</c:v>
                </c:pt>
                <c:pt idx="24">
                  <c:v>1.41818181818181</c:v>
                </c:pt>
                <c:pt idx="25">
                  <c:v>1.44747474747474</c:v>
                </c:pt>
                <c:pt idx="26">
                  <c:v>1.4767676767676701</c:v>
                </c:pt>
                <c:pt idx="27">
                  <c:v>1.5060606060606001</c:v>
                </c:pt>
                <c:pt idx="28">
                  <c:v>1.5353535353535299</c:v>
                </c:pt>
                <c:pt idx="29">
                  <c:v>1.56464646464646</c:v>
                </c:pt>
                <c:pt idx="30">
                  <c:v>1.59393939393939</c:v>
                </c:pt>
                <c:pt idx="31">
                  <c:v>1.62323232323232</c:v>
                </c:pt>
                <c:pt idx="32">
                  <c:v>1.6525252525252501</c:v>
                </c:pt>
                <c:pt idx="33">
                  <c:v>1.6818181818181801</c:v>
                </c:pt>
                <c:pt idx="34">
                  <c:v>1.7111111111111099</c:v>
                </c:pt>
                <c:pt idx="35">
                  <c:v>1.74040404040404</c:v>
                </c:pt>
                <c:pt idx="36">
                  <c:v>1.76969696969697</c:v>
                </c:pt>
                <c:pt idx="37">
                  <c:v>1.79898989898989</c:v>
                </c:pt>
                <c:pt idx="38">
                  <c:v>1.8282828282828201</c:v>
                </c:pt>
                <c:pt idx="39">
                  <c:v>1.8575757575757501</c:v>
                </c:pt>
                <c:pt idx="40">
                  <c:v>1.8868686868686799</c:v>
                </c:pt>
                <c:pt idx="41">
                  <c:v>1.91616161616161</c:v>
                </c:pt>
                <c:pt idx="42">
                  <c:v>1.94545454545454</c:v>
                </c:pt>
                <c:pt idx="43">
                  <c:v>1.97474747474747</c:v>
                </c:pt>
                <c:pt idx="44">
                  <c:v>2.0040404040404001</c:v>
                </c:pt>
                <c:pt idx="45">
                  <c:v>2.0333333333333301</c:v>
                </c:pt>
                <c:pt idx="46">
                  <c:v>2.0626262626262601</c:v>
                </c:pt>
                <c:pt idx="47">
                  <c:v>2.0919191919191902</c:v>
                </c:pt>
                <c:pt idx="48">
                  <c:v>2.1212121212121202</c:v>
                </c:pt>
                <c:pt idx="49">
                  <c:v>2.1505050505050498</c:v>
                </c:pt>
                <c:pt idx="50">
                  <c:v>2.1797979797979798</c:v>
                </c:pt>
                <c:pt idx="51">
                  <c:v>2.2090909090909001</c:v>
                </c:pt>
                <c:pt idx="52">
                  <c:v>2.2383838383838301</c:v>
                </c:pt>
                <c:pt idx="53">
                  <c:v>2.2676767676767602</c:v>
                </c:pt>
                <c:pt idx="54">
                  <c:v>2.2969696969696898</c:v>
                </c:pt>
                <c:pt idx="55">
                  <c:v>2.3262626262626198</c:v>
                </c:pt>
                <c:pt idx="56">
                  <c:v>2.3555555555555499</c:v>
                </c:pt>
                <c:pt idx="57">
                  <c:v>2.3848484848484799</c:v>
                </c:pt>
                <c:pt idx="58">
                  <c:v>2.4141414141414099</c:v>
                </c:pt>
                <c:pt idx="59">
                  <c:v>2.44343434343434</c:v>
                </c:pt>
                <c:pt idx="60">
                  <c:v>2.47272727272727</c:v>
                </c:pt>
                <c:pt idx="61">
                  <c:v>2.5020202020202</c:v>
                </c:pt>
              </c:numCache>
            </c:numRef>
          </c:xVal>
          <c:yVal>
            <c:numRef>
              <c:f>'60000'!$BQ$88:$BQ$149</c:f>
              <c:numCache>
                <c:formatCode>General</c:formatCode>
                <c:ptCount val="62"/>
                <c:pt idx="0">
                  <c:v>13.294782377998008</c:v>
                </c:pt>
                <c:pt idx="1">
                  <c:v>13.633690211640221</c:v>
                </c:pt>
                <c:pt idx="2">
                  <c:v>13.993808283743359</c:v>
                </c:pt>
                <c:pt idx="3">
                  <c:v>14.37600663392991</c:v>
                </c:pt>
                <c:pt idx="4">
                  <c:v>14.781209272125091</c:v>
                </c:pt>
                <c:pt idx="5">
                  <c:v>15.210395886451797</c:v>
                </c:pt>
                <c:pt idx="6">
                  <c:v>15.664603678630419</c:v>
                </c:pt>
                <c:pt idx="7">
                  <c:v>16.144929321929208</c:v>
                </c:pt>
                <c:pt idx="8">
                  <c:v>16.652531038023636</c:v>
                </c:pt>
                <c:pt idx="9">
                  <c:v>17.188630790146416</c:v>
                </c:pt>
                <c:pt idx="10">
                  <c:v>17.754516590713617</c:v>
                </c:pt>
                <c:pt idx="11">
                  <c:v>18.351544922253101</c:v>
                </c:pt>
                <c:pt idx="12">
                  <c:v>18.98114327096863</c:v>
                </c:pt>
                <c:pt idx="13">
                  <c:v>19.644812772693271</c:v>
                </c:pt>
                <c:pt idx="14">
                  <c:v>20.344130971315884</c:v>
                </c:pt>
                <c:pt idx="15">
                  <c:v>21.080754690044124</c:v>
                </c:pt>
                <c:pt idx="16">
                  <c:v>21.85642301609446</c:v>
                </c:pt>
                <c:pt idx="17">
                  <c:v>24.009672843771273</c:v>
                </c:pt>
                <c:pt idx="18">
                  <c:v>24.353302385902126</c:v>
                </c:pt>
                <c:pt idx="19">
                  <c:v>24.698295490294321</c:v>
                </c:pt>
                <c:pt idx="20">
                  <c:v>25.0437148782325</c:v>
                </c:pt>
                <c:pt idx="21">
                  <c:v>25.388547201713937</c:v>
                </c:pt>
                <c:pt idx="22">
                  <c:v>25.731698491666066</c:v>
                </c:pt>
                <c:pt idx="23">
                  <c:v>26.071989431444099</c:v>
                </c:pt>
                <c:pt idx="24">
                  <c:v>26.408150451014009</c:v>
                </c:pt>
                <c:pt idx="25">
                  <c:v>26.738816637239317</c:v>
                </c:pt>
                <c:pt idx="26">
                  <c:v>27.062522455705313</c:v>
                </c:pt>
                <c:pt idx="27">
                  <c:v>27.377696279517224</c:v>
                </c:pt>
                <c:pt idx="28">
                  <c:v>27.682654720515675</c:v>
                </c:pt>
                <c:pt idx="29">
                  <c:v>27.975596758353543</c:v>
                </c:pt>
                <c:pt idx="30">
                  <c:v>28.254597662877856</c:v>
                </c:pt>
                <c:pt idx="31">
                  <c:v>28.51760270525871</c:v>
                </c:pt>
                <c:pt idx="32">
                  <c:v>28.762420653303622</c:v>
                </c:pt>
                <c:pt idx="33">
                  <c:v>28.986717046391259</c:v>
                </c:pt>
                <c:pt idx="34">
                  <c:v>29.188007245453537</c:v>
                </c:pt>
                <c:pt idx="35">
                  <c:v>29.363649253428466</c:v>
                </c:pt>
                <c:pt idx="36">
                  <c:v>29.510836301600087</c:v>
                </c:pt>
                <c:pt idx="37">
                  <c:v>29.626589197234793</c:v>
                </c:pt>
                <c:pt idx="38">
                  <c:v>29.707748427915391</c:v>
                </c:pt>
                <c:pt idx="39">
                  <c:v>29.750966017966661</c:v>
                </c:pt>
                <c:pt idx="40">
                  <c:v>29.752697132359163</c:v>
                </c:pt>
                <c:pt idx="41">
                  <c:v>29.709191423468411</c:v>
                </c:pt>
                <c:pt idx="42">
                  <c:v>29.616484116059056</c:v>
                </c:pt>
                <c:pt idx="43">
                  <c:v>29.470386825855307</c:v>
                </c:pt>
                <c:pt idx="44">
                  <c:v>29.266478107050006</c:v>
                </c:pt>
                <c:pt idx="45">
                  <c:v>29.000093724096164</c:v>
                </c:pt>
                <c:pt idx="46">
                  <c:v>28.666316643116282</c:v>
                </c:pt>
                <c:pt idx="47">
                  <c:v>28.259966738256157</c:v>
                </c:pt>
                <c:pt idx="48">
                  <c:v>27.775590208300141</c:v>
                </c:pt>
                <c:pt idx="49">
                  <c:v>27.207448698857966</c:v>
                </c:pt>
                <c:pt idx="50">
                  <c:v>26.549508125422264</c:v>
                </c:pt>
                <c:pt idx="51">
                  <c:v>25.795427192588598</c:v>
                </c:pt>
                <c:pt idx="52">
                  <c:v>24.93854560471955</c:v>
                </c:pt>
                <c:pt idx="53">
                  <c:v>23.971871963329132</c:v>
                </c:pt>
                <c:pt idx="54">
                  <c:v>22.888071346448626</c:v>
                </c:pt>
                <c:pt idx="55">
                  <c:v>21.679452565232019</c:v>
                </c:pt>
                <c:pt idx="56">
                  <c:v>20.337955093048318</c:v>
                </c:pt>
                <c:pt idx="57">
                  <c:v>18.855135662297165</c:v>
                </c:pt>
                <c:pt idx="58">
                  <c:v>17.222154524179267</c:v>
                </c:pt>
                <c:pt idx="59">
                  <c:v>15.42976136664025</c:v>
                </c:pt>
                <c:pt idx="60">
                  <c:v>13.468280885700974</c:v>
                </c:pt>
                <c:pt idx="61">
                  <c:v>11.327598005375965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A6-4AE4-9E3A-36204ACB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552287"/>
        <c:axId val="1744553247"/>
      </c:scatterChart>
      <c:valAx>
        <c:axId val="174455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53247"/>
        <c:crosses val="autoZero"/>
        <c:crossBetween val="midCat"/>
      </c:valAx>
      <c:valAx>
        <c:axId val="174455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(Klb)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5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Dry</a:t>
            </a:r>
            <a:r>
              <a:rPr lang="en-US" sz="2000" baseline="0"/>
              <a:t> Thrust vs Mach at 55,000 ft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Required Thrust, Klb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'60000'!$AR$91:$AR$138</c:f>
              <c:numCache>
                <c:formatCode>General</c:formatCode>
                <c:ptCount val="48"/>
                <c:pt idx="0">
                  <c:v>0.86161616161616195</c:v>
                </c:pt>
                <c:pt idx="1">
                  <c:v>0.89090909090909098</c:v>
                </c:pt>
                <c:pt idx="2">
                  <c:v>0.92020202020202002</c:v>
                </c:pt>
                <c:pt idx="3">
                  <c:v>0.94949494949494895</c:v>
                </c:pt>
                <c:pt idx="4">
                  <c:v>0.97878787878787898</c:v>
                </c:pt>
                <c:pt idx="5">
                  <c:v>1.0080808080807999</c:v>
                </c:pt>
                <c:pt idx="6">
                  <c:v>1.03737373737373</c:v>
                </c:pt>
                <c:pt idx="7">
                  <c:v>1.06666666666666</c:v>
                </c:pt>
                <c:pt idx="8">
                  <c:v>1.09595959595959</c:v>
                </c:pt>
                <c:pt idx="9">
                  <c:v>1.1252525252525201</c:v>
                </c:pt>
                <c:pt idx="10">
                  <c:v>1.1545454545454501</c:v>
                </c:pt>
                <c:pt idx="11">
                  <c:v>1.1838383838383799</c:v>
                </c:pt>
                <c:pt idx="12">
                  <c:v>1.21313131313131</c:v>
                </c:pt>
                <c:pt idx="13">
                  <c:v>1.24242424242424</c:v>
                </c:pt>
                <c:pt idx="14">
                  <c:v>1.27171717171717</c:v>
                </c:pt>
                <c:pt idx="15">
                  <c:v>1.3010101010101001</c:v>
                </c:pt>
                <c:pt idx="16">
                  <c:v>1.3303030303030301</c:v>
                </c:pt>
                <c:pt idx="17">
                  <c:v>1.3595959595959599</c:v>
                </c:pt>
                <c:pt idx="18">
                  <c:v>1.38888888888888</c:v>
                </c:pt>
                <c:pt idx="19">
                  <c:v>1.41818181818181</c:v>
                </c:pt>
                <c:pt idx="20">
                  <c:v>1.44747474747474</c:v>
                </c:pt>
                <c:pt idx="21">
                  <c:v>1.4767676767676701</c:v>
                </c:pt>
                <c:pt idx="22">
                  <c:v>1.5060606060606001</c:v>
                </c:pt>
                <c:pt idx="23">
                  <c:v>1.5353535353535299</c:v>
                </c:pt>
                <c:pt idx="24">
                  <c:v>1.56464646464646</c:v>
                </c:pt>
                <c:pt idx="25">
                  <c:v>1.59393939393939</c:v>
                </c:pt>
                <c:pt idx="26">
                  <c:v>1.62323232323232</c:v>
                </c:pt>
                <c:pt idx="27">
                  <c:v>1.6525252525252501</c:v>
                </c:pt>
                <c:pt idx="28">
                  <c:v>1.6818181818181801</c:v>
                </c:pt>
                <c:pt idx="29">
                  <c:v>1.7111111111111099</c:v>
                </c:pt>
                <c:pt idx="30">
                  <c:v>1.74040404040404</c:v>
                </c:pt>
                <c:pt idx="31">
                  <c:v>1.76969696969697</c:v>
                </c:pt>
                <c:pt idx="32">
                  <c:v>1.79898989898989</c:v>
                </c:pt>
                <c:pt idx="33">
                  <c:v>1.8282828282828201</c:v>
                </c:pt>
                <c:pt idx="34">
                  <c:v>1.8575757575757501</c:v>
                </c:pt>
                <c:pt idx="35">
                  <c:v>1.8868686868686799</c:v>
                </c:pt>
                <c:pt idx="36">
                  <c:v>1.91616161616161</c:v>
                </c:pt>
                <c:pt idx="37">
                  <c:v>1.94545454545454</c:v>
                </c:pt>
                <c:pt idx="38">
                  <c:v>1.97474747474747</c:v>
                </c:pt>
                <c:pt idx="39">
                  <c:v>2.0040404040404001</c:v>
                </c:pt>
                <c:pt idx="40">
                  <c:v>2.0333333333333301</c:v>
                </c:pt>
                <c:pt idx="41">
                  <c:v>2.0626262626262601</c:v>
                </c:pt>
                <c:pt idx="42">
                  <c:v>2.0919191919191902</c:v>
                </c:pt>
                <c:pt idx="43">
                  <c:v>2.1212121212121202</c:v>
                </c:pt>
                <c:pt idx="44">
                  <c:v>2.1505050505050498</c:v>
                </c:pt>
                <c:pt idx="45">
                  <c:v>2.1797979797979798</c:v>
                </c:pt>
                <c:pt idx="46">
                  <c:v>2.2090909090909001</c:v>
                </c:pt>
                <c:pt idx="47">
                  <c:v>2.2383838383838301</c:v>
                </c:pt>
              </c:numCache>
            </c:numRef>
          </c:xVal>
          <c:yVal>
            <c:numRef>
              <c:f>'60000'!$AS$91:$AS$138</c:f>
              <c:numCache>
                <c:formatCode>General</c:formatCode>
                <c:ptCount val="48"/>
                <c:pt idx="0">
                  <c:v>27.433453497732618</c:v>
                </c:pt>
                <c:pt idx="1">
                  <c:v>26.195685080588596</c:v>
                </c:pt>
                <c:pt idx="2">
                  <c:v>21.089833333333299</c:v>
                </c:pt>
                <c:pt idx="3">
                  <c:v>19.3636666666666</c:v>
                </c:pt>
                <c:pt idx="4">
                  <c:v>17.6374999999999</c:v>
                </c:pt>
                <c:pt idx="5">
                  <c:v>15.9113333333333</c:v>
                </c:pt>
                <c:pt idx="6">
                  <c:v>14.1851666666666</c:v>
                </c:pt>
                <c:pt idx="7">
                  <c:v>11.397740468226417</c:v>
                </c:pt>
                <c:pt idx="8">
                  <c:v>11.02452105567026</c:v>
                </c:pt>
                <c:pt idx="9">
                  <c:v>11.182490938271236</c:v>
                </c:pt>
                <c:pt idx="10">
                  <c:v>11.48118701212602</c:v>
                </c:pt>
                <c:pt idx="11">
                  <c:v>11.838569630439284</c:v>
                </c:pt>
                <c:pt idx="12">
                  <c:v>12.227973264622838</c:v>
                </c:pt>
                <c:pt idx="13">
                  <c:v>12.638679574025661</c:v>
                </c:pt>
                <c:pt idx="14">
                  <c:v>13.065816456065189</c:v>
                </c:pt>
                <c:pt idx="15">
                  <c:v>13.506995773504809</c:v>
                </c:pt>
                <c:pt idx="16">
                  <c:v>14.669485846173217</c:v>
                </c:pt>
                <c:pt idx="17">
                  <c:v>15.148493859068211</c:v>
                </c:pt>
                <c:pt idx="18">
                  <c:v>15.643808458317741</c:v>
                </c:pt>
                <c:pt idx="19">
                  <c:v>16.152834155533689</c:v>
                </c:pt>
                <c:pt idx="20">
                  <c:v>16.67472205362634</c:v>
                </c:pt>
                <c:pt idx="21">
                  <c:v>17.209083947096538</c:v>
                </c:pt>
                <c:pt idx="22">
                  <c:v>17.755715573584975</c:v>
                </c:pt>
                <c:pt idx="23">
                  <c:v>18.314500435194638</c:v>
                </c:pt>
                <c:pt idx="24">
                  <c:v>18.885367905011627</c:v>
                </c:pt>
                <c:pt idx="25">
                  <c:v>19.468272487986191</c:v>
                </c:pt>
                <c:pt idx="26">
                  <c:v>20.06318272675497</c:v>
                </c:pt>
                <c:pt idx="27">
                  <c:v>20.670074978172497</c:v>
                </c:pt>
                <c:pt idx="28">
                  <c:v>21.288929825586855</c:v>
                </c:pt>
                <c:pt idx="29">
                  <c:v>21.919729986835005</c:v>
                </c:pt>
                <c:pt idx="30">
                  <c:v>22.562459099028437</c:v>
                </c:pt>
                <c:pt idx="31">
                  <c:v>23.217101028230662</c:v>
                </c:pt>
                <c:pt idx="32">
                  <c:v>23.883639496985616</c:v>
                </c:pt>
                <c:pt idx="33">
                  <c:v>24.562057904760415</c:v>
                </c:pt>
                <c:pt idx="34">
                  <c:v>25.25233926452314</c:v>
                </c:pt>
                <c:pt idx="35">
                  <c:v>25.954466207717498</c:v>
                </c:pt>
                <c:pt idx="36">
                  <c:v>26.668421027767312</c:v>
                </c:pt>
                <c:pt idx="37">
                  <c:v>27.394185743426689</c:v>
                </c:pt>
                <c:pt idx="38">
                  <c:v>28.131742170380541</c:v>
                </c:pt>
                <c:pt idx="39">
                  <c:v>28.881071994011478</c:v>
                </c:pt>
                <c:pt idx="40">
                  <c:v>29.642156839158204</c:v>
                </c:pt>
                <c:pt idx="41">
                  <c:v>30.414978334525411</c:v>
                </c:pt>
                <c:pt idx="42">
                  <c:v>31.199518170616724</c:v>
                </c:pt>
                <c:pt idx="43">
                  <c:v>31.995758150780294</c:v>
                </c:pt>
                <c:pt idx="44">
                  <c:v>32.803680235420735</c:v>
                </c:pt>
                <c:pt idx="45">
                  <c:v>33.62326657971176</c:v>
                </c:pt>
                <c:pt idx="46">
                  <c:v>34.454499565275356</c:v>
                </c:pt>
                <c:pt idx="47">
                  <c:v>35.297361826375422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F2-4297-A460-A1DCC0E9BD7E}"/>
            </c:ext>
          </c:extLst>
        </c:ser>
        <c:ser>
          <c:idx val="1"/>
          <c:order val="1"/>
          <c:tx>
            <c:v>Available Thrust, Klb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'60000'!$AR$91:$AR$138</c:f>
              <c:numCache>
                <c:formatCode>General</c:formatCode>
                <c:ptCount val="48"/>
                <c:pt idx="0">
                  <c:v>0.86161616161616195</c:v>
                </c:pt>
                <c:pt idx="1">
                  <c:v>0.89090909090909098</c:v>
                </c:pt>
                <c:pt idx="2">
                  <c:v>0.92020202020202002</c:v>
                </c:pt>
                <c:pt idx="3">
                  <c:v>0.94949494949494895</c:v>
                </c:pt>
                <c:pt idx="4">
                  <c:v>0.97878787878787898</c:v>
                </c:pt>
                <c:pt idx="5">
                  <c:v>1.0080808080807999</c:v>
                </c:pt>
                <c:pt idx="6">
                  <c:v>1.03737373737373</c:v>
                </c:pt>
                <c:pt idx="7">
                  <c:v>1.06666666666666</c:v>
                </c:pt>
                <c:pt idx="8">
                  <c:v>1.09595959595959</c:v>
                </c:pt>
                <c:pt idx="9">
                  <c:v>1.1252525252525201</c:v>
                </c:pt>
                <c:pt idx="10">
                  <c:v>1.1545454545454501</c:v>
                </c:pt>
                <c:pt idx="11">
                  <c:v>1.1838383838383799</c:v>
                </c:pt>
                <c:pt idx="12">
                  <c:v>1.21313131313131</c:v>
                </c:pt>
                <c:pt idx="13">
                  <c:v>1.24242424242424</c:v>
                </c:pt>
                <c:pt idx="14">
                  <c:v>1.27171717171717</c:v>
                </c:pt>
                <c:pt idx="15">
                  <c:v>1.3010101010101001</c:v>
                </c:pt>
                <c:pt idx="16">
                  <c:v>1.3303030303030301</c:v>
                </c:pt>
                <c:pt idx="17">
                  <c:v>1.3595959595959599</c:v>
                </c:pt>
                <c:pt idx="18">
                  <c:v>1.38888888888888</c:v>
                </c:pt>
                <c:pt idx="19">
                  <c:v>1.41818181818181</c:v>
                </c:pt>
                <c:pt idx="20">
                  <c:v>1.44747474747474</c:v>
                </c:pt>
                <c:pt idx="21">
                  <c:v>1.4767676767676701</c:v>
                </c:pt>
                <c:pt idx="22">
                  <c:v>1.5060606060606001</c:v>
                </c:pt>
                <c:pt idx="23">
                  <c:v>1.5353535353535299</c:v>
                </c:pt>
                <c:pt idx="24">
                  <c:v>1.56464646464646</c:v>
                </c:pt>
                <c:pt idx="25">
                  <c:v>1.59393939393939</c:v>
                </c:pt>
                <c:pt idx="26">
                  <c:v>1.62323232323232</c:v>
                </c:pt>
                <c:pt idx="27">
                  <c:v>1.6525252525252501</c:v>
                </c:pt>
                <c:pt idx="28">
                  <c:v>1.6818181818181801</c:v>
                </c:pt>
                <c:pt idx="29">
                  <c:v>1.7111111111111099</c:v>
                </c:pt>
                <c:pt idx="30">
                  <c:v>1.74040404040404</c:v>
                </c:pt>
                <c:pt idx="31">
                  <c:v>1.76969696969697</c:v>
                </c:pt>
                <c:pt idx="32">
                  <c:v>1.79898989898989</c:v>
                </c:pt>
                <c:pt idx="33">
                  <c:v>1.8282828282828201</c:v>
                </c:pt>
                <c:pt idx="34">
                  <c:v>1.8575757575757501</c:v>
                </c:pt>
                <c:pt idx="35">
                  <c:v>1.8868686868686799</c:v>
                </c:pt>
                <c:pt idx="36">
                  <c:v>1.91616161616161</c:v>
                </c:pt>
                <c:pt idx="37">
                  <c:v>1.94545454545454</c:v>
                </c:pt>
                <c:pt idx="38">
                  <c:v>1.97474747474747</c:v>
                </c:pt>
                <c:pt idx="39">
                  <c:v>2.0040404040404001</c:v>
                </c:pt>
                <c:pt idx="40">
                  <c:v>2.0333333333333301</c:v>
                </c:pt>
                <c:pt idx="41">
                  <c:v>2.0626262626262601</c:v>
                </c:pt>
                <c:pt idx="42">
                  <c:v>2.0919191919191902</c:v>
                </c:pt>
                <c:pt idx="43">
                  <c:v>2.1212121212121202</c:v>
                </c:pt>
                <c:pt idx="44">
                  <c:v>2.1505050505050498</c:v>
                </c:pt>
                <c:pt idx="45">
                  <c:v>2.1797979797979798</c:v>
                </c:pt>
                <c:pt idx="46">
                  <c:v>2.2090909090909001</c:v>
                </c:pt>
                <c:pt idx="47">
                  <c:v>2.2383838383838301</c:v>
                </c:pt>
              </c:numCache>
            </c:numRef>
          </c:xVal>
          <c:yVal>
            <c:numRef>
              <c:f>'60000'!$AT$91:$AT$138</c:f>
              <c:numCache>
                <c:formatCode>General</c:formatCode>
                <c:ptCount val="48"/>
                <c:pt idx="0">
                  <c:v>13.959625565445471</c:v>
                </c:pt>
                <c:pt idx="1">
                  <c:v>14.230649057952554</c:v>
                </c:pt>
                <c:pt idx="2">
                  <c:v>14.515769199920086</c:v>
                </c:pt>
                <c:pt idx="3">
                  <c:v>14.815227619435786</c:v>
                </c:pt>
                <c:pt idx="4">
                  <c:v>15.129270649040231</c:v>
                </c:pt>
                <c:pt idx="5">
                  <c:v>15.458148004572131</c:v>
                </c:pt>
                <c:pt idx="6">
                  <c:v>15.802111378346234</c:v>
                </c:pt>
                <c:pt idx="7">
                  <c:v>16.161412939757682</c:v>
                </c:pt>
                <c:pt idx="8">
                  <c:v>16.53630373624253</c:v>
                </c:pt>
                <c:pt idx="9">
                  <c:v>16.927031987346613</c:v>
                </c:pt>
                <c:pt idx="10">
                  <c:v>17.333841264478476</c:v>
                </c:pt>
                <c:pt idx="11">
                  <c:v>17.756968548737685</c:v>
                </c:pt>
                <c:pt idx="12">
                  <c:v>18.39412506859567</c:v>
                </c:pt>
                <c:pt idx="13">
                  <c:v>18.774375574669445</c:v>
                </c:pt>
                <c:pt idx="14">
                  <c:v>19.165178789194606</c:v>
                </c:pt>
                <c:pt idx="15">
                  <c:v>19.566274431350251</c:v>
                </c:pt>
                <c:pt idx="16">
                  <c:v>19.977357957825131</c:v>
                </c:pt>
                <c:pt idx="17">
                  <c:v>20.398076501364752</c:v>
                </c:pt>
                <c:pt idx="18">
                  <c:v>20.828024584855754</c:v>
                </c:pt>
                <c:pt idx="19">
                  <c:v>21.266739600816674</c:v>
                </c:pt>
                <c:pt idx="20">
                  <c:v>21.71369704593651</c:v>
                </c:pt>
                <c:pt idx="21">
                  <c:v>22.168305500080347</c:v>
                </c:pt>
                <c:pt idx="22">
                  <c:v>22.629901338946194</c:v>
                </c:pt>
                <c:pt idx="23">
                  <c:v>23.097743169328119</c:v>
                </c:pt>
                <c:pt idx="24">
                  <c:v>23.571005975705262</c:v>
                </c:pt>
                <c:pt idx="25">
                  <c:v>24.048774966639467</c:v>
                </c:pt>
                <c:pt idx="26">
                  <c:v>24.530039109225939</c:v>
                </c:pt>
                <c:pt idx="27">
                  <c:v>25.013684339600267</c:v>
                </c:pt>
                <c:pt idx="28">
                  <c:v>25.498486437262866</c:v>
                </c:pt>
                <c:pt idx="29">
                  <c:v>25.983103550737631</c:v>
                </c:pt>
                <c:pt idx="30">
                  <c:v>26.466068361835589</c:v>
                </c:pt>
                <c:pt idx="31">
                  <c:v>26.945779875546904</c:v>
                </c:pt>
                <c:pt idx="32">
                  <c:v>27.420494822336085</c:v>
                </c:pt>
                <c:pt idx="33">
                  <c:v>27.888318659365222</c:v>
                </c:pt>
                <c:pt idx="34">
                  <c:v>28.347196156915857</c:v>
                </c:pt>
                <c:pt idx="35">
                  <c:v>28.794901556032954</c:v>
                </c:pt>
                <c:pt idx="36">
                  <c:v>29.229028283154413</c:v>
                </c:pt>
                <c:pt idx="37">
                  <c:v>29.646978207238462</c:v>
                </c:pt>
                <c:pt idx="38">
                  <c:v>30.045950424644005</c:v>
                </c:pt>
                <c:pt idx="39">
                  <c:v>30.422929556762078</c:v>
                </c:pt>
                <c:pt idx="40">
                  <c:v>30.774673545138828</c:v>
                </c:pt>
                <c:pt idx="41">
                  <c:v>31.097700928571602</c:v>
                </c:pt>
                <c:pt idx="42">
                  <c:v>31.388277586400708</c:v>
                </c:pt>
                <c:pt idx="43">
                  <c:v>31.642402931958028</c:v>
                </c:pt>
                <c:pt idx="44">
                  <c:v>31.855795539874322</c:v>
                </c:pt>
                <c:pt idx="45">
                  <c:v>32.02387819068398</c:v>
                </c:pt>
                <c:pt idx="46">
                  <c:v>32.141762315904231</c:v>
                </c:pt>
                <c:pt idx="47">
                  <c:v>32.204231826503843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F2-4297-A460-A1DCC0E9BD7E}"/>
            </c:ext>
          </c:extLst>
        </c:ser>
        <c:ser>
          <c:idx val="2"/>
          <c:order val="2"/>
          <c:tx>
            <c:v>Concorde Available Dry Thrust, Klb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'60000'!$AR$91:$AR$138</c:f>
              <c:numCache>
                <c:formatCode>General</c:formatCode>
                <c:ptCount val="48"/>
                <c:pt idx="0">
                  <c:v>0.86161616161616195</c:v>
                </c:pt>
                <c:pt idx="1">
                  <c:v>0.89090909090909098</c:v>
                </c:pt>
                <c:pt idx="2">
                  <c:v>0.92020202020202002</c:v>
                </c:pt>
                <c:pt idx="3">
                  <c:v>0.94949494949494895</c:v>
                </c:pt>
                <c:pt idx="4">
                  <c:v>0.97878787878787898</c:v>
                </c:pt>
                <c:pt idx="5">
                  <c:v>1.0080808080807999</c:v>
                </c:pt>
                <c:pt idx="6">
                  <c:v>1.03737373737373</c:v>
                </c:pt>
                <c:pt idx="7">
                  <c:v>1.06666666666666</c:v>
                </c:pt>
                <c:pt idx="8">
                  <c:v>1.09595959595959</c:v>
                </c:pt>
                <c:pt idx="9">
                  <c:v>1.1252525252525201</c:v>
                </c:pt>
                <c:pt idx="10">
                  <c:v>1.1545454545454501</c:v>
                </c:pt>
                <c:pt idx="11">
                  <c:v>1.1838383838383799</c:v>
                </c:pt>
                <c:pt idx="12">
                  <c:v>1.21313131313131</c:v>
                </c:pt>
                <c:pt idx="13">
                  <c:v>1.24242424242424</c:v>
                </c:pt>
                <c:pt idx="14">
                  <c:v>1.27171717171717</c:v>
                </c:pt>
                <c:pt idx="15">
                  <c:v>1.3010101010101001</c:v>
                </c:pt>
                <c:pt idx="16">
                  <c:v>1.3303030303030301</c:v>
                </c:pt>
                <c:pt idx="17">
                  <c:v>1.3595959595959599</c:v>
                </c:pt>
                <c:pt idx="18">
                  <c:v>1.38888888888888</c:v>
                </c:pt>
                <c:pt idx="19">
                  <c:v>1.41818181818181</c:v>
                </c:pt>
                <c:pt idx="20">
                  <c:v>1.44747474747474</c:v>
                </c:pt>
                <c:pt idx="21">
                  <c:v>1.4767676767676701</c:v>
                </c:pt>
                <c:pt idx="22">
                  <c:v>1.5060606060606001</c:v>
                </c:pt>
                <c:pt idx="23">
                  <c:v>1.5353535353535299</c:v>
                </c:pt>
                <c:pt idx="24">
                  <c:v>1.56464646464646</c:v>
                </c:pt>
                <c:pt idx="25">
                  <c:v>1.59393939393939</c:v>
                </c:pt>
                <c:pt idx="26">
                  <c:v>1.62323232323232</c:v>
                </c:pt>
                <c:pt idx="27">
                  <c:v>1.6525252525252501</c:v>
                </c:pt>
                <c:pt idx="28">
                  <c:v>1.6818181818181801</c:v>
                </c:pt>
                <c:pt idx="29">
                  <c:v>1.7111111111111099</c:v>
                </c:pt>
                <c:pt idx="30">
                  <c:v>1.74040404040404</c:v>
                </c:pt>
                <c:pt idx="31">
                  <c:v>1.76969696969697</c:v>
                </c:pt>
                <c:pt idx="32">
                  <c:v>1.79898989898989</c:v>
                </c:pt>
                <c:pt idx="33">
                  <c:v>1.8282828282828201</c:v>
                </c:pt>
                <c:pt idx="34">
                  <c:v>1.8575757575757501</c:v>
                </c:pt>
                <c:pt idx="35">
                  <c:v>1.8868686868686799</c:v>
                </c:pt>
                <c:pt idx="36">
                  <c:v>1.91616161616161</c:v>
                </c:pt>
                <c:pt idx="37">
                  <c:v>1.94545454545454</c:v>
                </c:pt>
                <c:pt idx="38">
                  <c:v>1.97474747474747</c:v>
                </c:pt>
                <c:pt idx="39">
                  <c:v>2.0040404040404001</c:v>
                </c:pt>
                <c:pt idx="40">
                  <c:v>2.0333333333333301</c:v>
                </c:pt>
                <c:pt idx="41">
                  <c:v>2.0626262626262601</c:v>
                </c:pt>
                <c:pt idx="42">
                  <c:v>2.0919191919191902</c:v>
                </c:pt>
                <c:pt idx="43">
                  <c:v>2.1212121212121202</c:v>
                </c:pt>
                <c:pt idx="44">
                  <c:v>2.1505050505050498</c:v>
                </c:pt>
                <c:pt idx="45">
                  <c:v>2.1797979797979798</c:v>
                </c:pt>
                <c:pt idx="46">
                  <c:v>2.2090909090909001</c:v>
                </c:pt>
                <c:pt idx="47">
                  <c:v>2.2383838383838301</c:v>
                </c:pt>
              </c:numCache>
            </c:numRef>
          </c:xVal>
          <c:yVal>
            <c:numRef>
              <c:f>'60000'!$AU$91:$AU$138</c:f>
              <c:numCache>
                <c:formatCode>General</c:formatCode>
                <c:ptCount val="48"/>
                <c:pt idx="0">
                  <c:v>13.864125160180993</c:v>
                </c:pt>
                <c:pt idx="1">
                  <c:v>14.133294530365866</c:v>
                </c:pt>
                <c:pt idx="2">
                  <c:v>14.416464112199865</c:v>
                </c:pt>
                <c:pt idx="3">
                  <c:v>14.713873880747851</c:v>
                </c:pt>
                <c:pt idx="4">
                  <c:v>15.025768483343484</c:v>
                </c:pt>
                <c:pt idx="5">
                  <c:v>15.35239592747279</c:v>
                </c:pt>
                <c:pt idx="6">
                  <c:v>15.694006183576398</c:v>
                </c:pt>
                <c:pt idx="7">
                  <c:v>16.050849695911523</c:v>
                </c:pt>
                <c:pt idx="8">
                  <c:v>16.423175794451833</c:v>
                </c:pt>
                <c:pt idx="9">
                  <c:v>16.811231000626893</c:v>
                </c:pt>
                <c:pt idx="10">
                  <c:v>17.215257219527768</c:v>
                </c:pt>
                <c:pt idx="11">
                  <c:v>17.635489811022062</c:v>
                </c:pt>
                <c:pt idx="12">
                  <c:v>18.072155532034554</c:v>
                </c:pt>
                <c:pt idx="13">
                  <c:v>18.621843320813511</c:v>
                </c:pt>
                <c:pt idx="14">
                  <c:v>19.034066222259803</c:v>
                </c:pt>
                <c:pt idx="15">
                  <c:v>19.432417894228273</c:v>
                </c:pt>
                <c:pt idx="16">
                  <c:v>19.84068912153425</c:v>
                </c:pt>
                <c:pt idx="17">
                  <c:v>20.258529450954022</c:v>
                </c:pt>
                <c:pt idx="18">
                  <c:v>20.685536179318873</c:v>
                </c:pt>
                <c:pt idx="19">
                  <c:v>21.12124986393151</c:v>
                </c:pt>
                <c:pt idx="20">
                  <c:v>21.565149589706021</c:v>
                </c:pt>
                <c:pt idx="21">
                  <c:v>22.016647982523082</c:v>
                </c:pt>
                <c:pt idx="22">
                  <c:v>22.475085958058465</c:v>
                </c:pt>
                <c:pt idx="23">
                  <c:v>22.939727195115616</c:v>
                </c:pt>
                <c:pt idx="24">
                  <c:v>23.409752322258903</c:v>
                </c:pt>
                <c:pt idx="25">
                  <c:v>23.884252806309231</c:v>
                </c:pt>
                <c:pt idx="26">
                  <c:v>24.362224531026701</c:v>
                </c:pt>
                <c:pt idx="27">
                  <c:v>24.842561054065833</c:v>
                </c:pt>
                <c:pt idx="28">
                  <c:v>25.324046530048083</c:v>
                </c:pt>
                <c:pt idx="29">
                  <c:v>25.80534828735388</c:v>
                </c:pt>
                <c:pt idx="30">
                  <c:v>26.28500904599197</c:v>
                </c:pt>
                <c:pt idx="31">
                  <c:v>26.761438763658347</c:v>
                </c:pt>
                <c:pt idx="32">
                  <c:v>27.232906096849955</c:v>
                </c:pt>
                <c:pt idx="33">
                  <c:v>27.697529463650195</c:v>
                </c:pt>
                <c:pt idx="34">
                  <c:v>28.153267694550919</c:v>
                </c:pt>
                <c:pt idx="35">
                  <c:v>28.597910257429728</c:v>
                </c:pt>
                <c:pt idx="36">
                  <c:v>29.029067042543659</c:v>
                </c:pt>
                <c:pt idx="37">
                  <c:v>29.444157693150547</c:v>
                </c:pt>
                <c:pt idx="38">
                  <c:v>29.840400467114154</c:v>
                </c:pt>
                <c:pt idx="39">
                  <c:v>30.21480061459366</c:v>
                </c:pt>
                <c:pt idx="40">
                  <c:v>30.564138256662485</c:v>
                </c:pt>
                <c:pt idx="41">
                  <c:v>30.884955749444202</c:v>
                </c:pt>
                <c:pt idx="42">
                  <c:v>31.173544518095841</c:v>
                </c:pt>
                <c:pt idx="43">
                  <c:v>31.425931344709735</c:v>
                </c:pt>
                <c:pt idx="44">
                  <c:v>31.637864093947087</c:v>
                </c:pt>
                <c:pt idx="45">
                  <c:v>31.804796859955392</c:v>
                </c:pt>
                <c:pt idx="46">
                  <c:v>31.921874517861745</c:v>
                </c:pt>
                <c:pt idx="47">
                  <c:v>31.983916662874009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F2-4297-A460-A1DCC0E9BD7E}"/>
            </c:ext>
          </c:extLst>
        </c:ser>
        <c:ser>
          <c:idx val="3"/>
          <c:order val="3"/>
          <c:tx>
            <c:v>Required Thrust During OEI, Klb</c:v>
          </c:tx>
          <c:spPr>
            <a:ln w="1905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'60000'!$AR$91:$AR$138</c:f>
              <c:numCache>
                <c:formatCode>General</c:formatCode>
                <c:ptCount val="48"/>
                <c:pt idx="0">
                  <c:v>0.86161616161616195</c:v>
                </c:pt>
                <c:pt idx="1">
                  <c:v>0.89090909090909098</c:v>
                </c:pt>
                <c:pt idx="2">
                  <c:v>0.92020202020202002</c:v>
                </c:pt>
                <c:pt idx="3">
                  <c:v>0.94949494949494895</c:v>
                </c:pt>
                <c:pt idx="4">
                  <c:v>0.97878787878787898</c:v>
                </c:pt>
                <c:pt idx="5">
                  <c:v>1.0080808080807999</c:v>
                </c:pt>
                <c:pt idx="6">
                  <c:v>1.03737373737373</c:v>
                </c:pt>
                <c:pt idx="7">
                  <c:v>1.06666666666666</c:v>
                </c:pt>
                <c:pt idx="8">
                  <c:v>1.09595959595959</c:v>
                </c:pt>
                <c:pt idx="9">
                  <c:v>1.1252525252525201</c:v>
                </c:pt>
                <c:pt idx="10">
                  <c:v>1.1545454545454501</c:v>
                </c:pt>
                <c:pt idx="11">
                  <c:v>1.1838383838383799</c:v>
                </c:pt>
                <c:pt idx="12">
                  <c:v>1.21313131313131</c:v>
                </c:pt>
                <c:pt idx="13">
                  <c:v>1.24242424242424</c:v>
                </c:pt>
                <c:pt idx="14">
                  <c:v>1.27171717171717</c:v>
                </c:pt>
                <c:pt idx="15">
                  <c:v>1.3010101010101001</c:v>
                </c:pt>
                <c:pt idx="16">
                  <c:v>1.3303030303030301</c:v>
                </c:pt>
                <c:pt idx="17">
                  <c:v>1.3595959595959599</c:v>
                </c:pt>
                <c:pt idx="18">
                  <c:v>1.38888888888888</c:v>
                </c:pt>
                <c:pt idx="19">
                  <c:v>1.41818181818181</c:v>
                </c:pt>
                <c:pt idx="20">
                  <c:v>1.44747474747474</c:v>
                </c:pt>
                <c:pt idx="21">
                  <c:v>1.4767676767676701</c:v>
                </c:pt>
                <c:pt idx="22">
                  <c:v>1.5060606060606001</c:v>
                </c:pt>
                <c:pt idx="23">
                  <c:v>1.5353535353535299</c:v>
                </c:pt>
                <c:pt idx="24">
                  <c:v>1.56464646464646</c:v>
                </c:pt>
                <c:pt idx="25">
                  <c:v>1.59393939393939</c:v>
                </c:pt>
                <c:pt idx="26">
                  <c:v>1.62323232323232</c:v>
                </c:pt>
                <c:pt idx="27">
                  <c:v>1.6525252525252501</c:v>
                </c:pt>
                <c:pt idx="28">
                  <c:v>1.6818181818181801</c:v>
                </c:pt>
                <c:pt idx="29">
                  <c:v>1.7111111111111099</c:v>
                </c:pt>
                <c:pt idx="30">
                  <c:v>1.74040404040404</c:v>
                </c:pt>
                <c:pt idx="31">
                  <c:v>1.76969696969697</c:v>
                </c:pt>
                <c:pt idx="32">
                  <c:v>1.79898989898989</c:v>
                </c:pt>
                <c:pt idx="33">
                  <c:v>1.8282828282828201</c:v>
                </c:pt>
                <c:pt idx="34">
                  <c:v>1.8575757575757501</c:v>
                </c:pt>
                <c:pt idx="35">
                  <c:v>1.8868686868686799</c:v>
                </c:pt>
                <c:pt idx="36">
                  <c:v>1.91616161616161</c:v>
                </c:pt>
                <c:pt idx="37">
                  <c:v>1.94545454545454</c:v>
                </c:pt>
                <c:pt idx="38">
                  <c:v>1.97474747474747</c:v>
                </c:pt>
                <c:pt idx="39">
                  <c:v>2.0040404040404001</c:v>
                </c:pt>
                <c:pt idx="40">
                  <c:v>2.0333333333333301</c:v>
                </c:pt>
                <c:pt idx="41">
                  <c:v>2.0626262626262601</c:v>
                </c:pt>
                <c:pt idx="42">
                  <c:v>2.0919191919191902</c:v>
                </c:pt>
                <c:pt idx="43">
                  <c:v>2.1212121212121202</c:v>
                </c:pt>
                <c:pt idx="44">
                  <c:v>2.1505050505050498</c:v>
                </c:pt>
                <c:pt idx="45">
                  <c:v>2.1797979797979798</c:v>
                </c:pt>
                <c:pt idx="46">
                  <c:v>2.2090909090909001</c:v>
                </c:pt>
                <c:pt idx="47">
                  <c:v>2.2383838383838301</c:v>
                </c:pt>
              </c:numCache>
            </c:numRef>
          </c:xVal>
          <c:yVal>
            <c:numRef>
              <c:f>'60000'!$AV$91:$AV$138</c:f>
              <c:numCache>
                <c:formatCode>General</c:formatCode>
                <c:ptCount val="48"/>
                <c:pt idx="0">
                  <c:v>28.80512617261925</c:v>
                </c:pt>
                <c:pt idx="1">
                  <c:v>27.505469334618027</c:v>
                </c:pt>
                <c:pt idx="2">
                  <c:v>25</c:v>
                </c:pt>
                <c:pt idx="3">
                  <c:v>20</c:v>
                </c:pt>
                <c:pt idx="4">
                  <c:v>16</c:v>
                </c:pt>
                <c:pt idx="5">
                  <c:v>13</c:v>
                </c:pt>
                <c:pt idx="6">
                  <c:v>12</c:v>
                </c:pt>
                <c:pt idx="7">
                  <c:v>11.967627491637737</c:v>
                </c:pt>
                <c:pt idx="8">
                  <c:v>11.575747108453774</c:v>
                </c:pt>
                <c:pt idx="9">
                  <c:v>11.741615485184798</c:v>
                </c:pt>
                <c:pt idx="10">
                  <c:v>12.055246362732321</c:v>
                </c:pt>
                <c:pt idx="11">
                  <c:v>12.430498111961249</c:v>
                </c:pt>
                <c:pt idx="12">
                  <c:v>12.83937192785398</c:v>
                </c:pt>
                <c:pt idx="13">
                  <c:v>13.270613552726944</c:v>
                </c:pt>
                <c:pt idx="14">
                  <c:v>13.719107278868449</c:v>
                </c:pt>
                <c:pt idx="15">
                  <c:v>14.18234556218005</c:v>
                </c:pt>
                <c:pt idx="16">
                  <c:v>15.402960138481879</c:v>
                </c:pt>
                <c:pt idx="17">
                  <c:v>15.905918552021621</c:v>
                </c:pt>
                <c:pt idx="18">
                  <c:v>16.425998881233628</c:v>
                </c:pt>
                <c:pt idx="19">
                  <c:v>16.960475863310375</c:v>
                </c:pt>
                <c:pt idx="20">
                  <c:v>17.508458156307658</c:v>
                </c:pt>
                <c:pt idx="21">
                  <c:v>18.069538144451364</c:v>
                </c:pt>
                <c:pt idx="22">
                  <c:v>18.643501352264224</c:v>
                </c:pt>
                <c:pt idx="23">
                  <c:v>19.230225456954372</c:v>
                </c:pt>
                <c:pt idx="24">
                  <c:v>19.829636300262209</c:v>
                </c:pt>
                <c:pt idx="25">
                  <c:v>20.441686112385501</c:v>
                </c:pt>
                <c:pt idx="26">
                  <c:v>21.06634186309272</c:v>
                </c:pt>
                <c:pt idx="27">
                  <c:v>21.703578727081123</c:v>
                </c:pt>
                <c:pt idx="28">
                  <c:v>22.3533763168662</c:v>
                </c:pt>
                <c:pt idx="29">
                  <c:v>23.015716486176757</c:v>
                </c:pt>
                <c:pt idx="30">
                  <c:v>23.69058205397986</c:v>
                </c:pt>
                <c:pt idx="31">
                  <c:v>24.377956079642196</c:v>
                </c:pt>
                <c:pt idx="32">
                  <c:v>25.077821471834898</c:v>
                </c:pt>
                <c:pt idx="33">
                  <c:v>25.790160799998436</c:v>
                </c:pt>
                <c:pt idx="34">
                  <c:v>26.514956227749298</c:v>
                </c:pt>
                <c:pt idx="35">
                  <c:v>27.252189518103375</c:v>
                </c:pt>
                <c:pt idx="36">
                  <c:v>28.001842079155679</c:v>
                </c:pt>
                <c:pt idx="37">
                  <c:v>28.763895030598025</c:v>
                </c:pt>
                <c:pt idx="38">
                  <c:v>29.538329278899567</c:v>
                </c:pt>
                <c:pt idx="39">
                  <c:v>30.325125593712052</c:v>
                </c:pt>
                <c:pt idx="40">
                  <c:v>31.124264681116117</c:v>
                </c:pt>
                <c:pt idx="41">
                  <c:v>31.935727251251684</c:v>
                </c:pt>
                <c:pt idx="42">
                  <c:v>32.759494079147558</c:v>
                </c:pt>
                <c:pt idx="43">
                  <c:v>33.595546058319307</c:v>
                </c:pt>
                <c:pt idx="44">
                  <c:v>34.443864247191776</c:v>
                </c:pt>
                <c:pt idx="45">
                  <c:v>35.304429908697351</c:v>
                </c:pt>
                <c:pt idx="46">
                  <c:v>36.177224543539126</c:v>
                </c:pt>
                <c:pt idx="47">
                  <c:v>37.062229917694197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F2-4297-A460-A1DCC0E9BD7E}"/>
            </c:ext>
          </c:extLst>
        </c:ser>
        <c:ser>
          <c:idx val="4"/>
          <c:order val="4"/>
          <c:tx>
            <c:v>Available Dry Thrust During OEI, Klb</c:v>
          </c:tx>
          <c:spPr>
            <a:ln w="19050" cap="rnd">
              <a:solidFill>
                <a:schemeClr val="accent5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'60000'!$AR$91:$AR$138</c:f>
              <c:numCache>
                <c:formatCode>General</c:formatCode>
                <c:ptCount val="48"/>
                <c:pt idx="0">
                  <c:v>0.86161616161616195</c:v>
                </c:pt>
                <c:pt idx="1">
                  <c:v>0.89090909090909098</c:v>
                </c:pt>
                <c:pt idx="2">
                  <c:v>0.92020202020202002</c:v>
                </c:pt>
                <c:pt idx="3">
                  <c:v>0.94949494949494895</c:v>
                </c:pt>
                <c:pt idx="4">
                  <c:v>0.97878787878787898</c:v>
                </c:pt>
                <c:pt idx="5">
                  <c:v>1.0080808080807999</c:v>
                </c:pt>
                <c:pt idx="6">
                  <c:v>1.03737373737373</c:v>
                </c:pt>
                <c:pt idx="7">
                  <c:v>1.06666666666666</c:v>
                </c:pt>
                <c:pt idx="8">
                  <c:v>1.09595959595959</c:v>
                </c:pt>
                <c:pt idx="9">
                  <c:v>1.1252525252525201</c:v>
                </c:pt>
                <c:pt idx="10">
                  <c:v>1.1545454545454501</c:v>
                </c:pt>
                <c:pt idx="11">
                  <c:v>1.1838383838383799</c:v>
                </c:pt>
                <c:pt idx="12">
                  <c:v>1.21313131313131</c:v>
                </c:pt>
                <c:pt idx="13">
                  <c:v>1.24242424242424</c:v>
                </c:pt>
                <c:pt idx="14">
                  <c:v>1.27171717171717</c:v>
                </c:pt>
                <c:pt idx="15">
                  <c:v>1.3010101010101001</c:v>
                </c:pt>
                <c:pt idx="16">
                  <c:v>1.3303030303030301</c:v>
                </c:pt>
                <c:pt idx="17">
                  <c:v>1.3595959595959599</c:v>
                </c:pt>
                <c:pt idx="18">
                  <c:v>1.38888888888888</c:v>
                </c:pt>
                <c:pt idx="19">
                  <c:v>1.41818181818181</c:v>
                </c:pt>
                <c:pt idx="20">
                  <c:v>1.44747474747474</c:v>
                </c:pt>
                <c:pt idx="21">
                  <c:v>1.4767676767676701</c:v>
                </c:pt>
                <c:pt idx="22">
                  <c:v>1.5060606060606001</c:v>
                </c:pt>
                <c:pt idx="23">
                  <c:v>1.5353535353535299</c:v>
                </c:pt>
                <c:pt idx="24">
                  <c:v>1.56464646464646</c:v>
                </c:pt>
                <c:pt idx="25">
                  <c:v>1.59393939393939</c:v>
                </c:pt>
                <c:pt idx="26">
                  <c:v>1.62323232323232</c:v>
                </c:pt>
                <c:pt idx="27">
                  <c:v>1.6525252525252501</c:v>
                </c:pt>
                <c:pt idx="28">
                  <c:v>1.6818181818181801</c:v>
                </c:pt>
                <c:pt idx="29">
                  <c:v>1.7111111111111099</c:v>
                </c:pt>
                <c:pt idx="30">
                  <c:v>1.74040404040404</c:v>
                </c:pt>
                <c:pt idx="31">
                  <c:v>1.76969696969697</c:v>
                </c:pt>
                <c:pt idx="32">
                  <c:v>1.79898989898989</c:v>
                </c:pt>
                <c:pt idx="33">
                  <c:v>1.8282828282828201</c:v>
                </c:pt>
                <c:pt idx="34">
                  <c:v>1.8575757575757501</c:v>
                </c:pt>
                <c:pt idx="35">
                  <c:v>1.8868686868686799</c:v>
                </c:pt>
                <c:pt idx="36">
                  <c:v>1.91616161616161</c:v>
                </c:pt>
                <c:pt idx="37">
                  <c:v>1.94545454545454</c:v>
                </c:pt>
                <c:pt idx="38">
                  <c:v>1.97474747474747</c:v>
                </c:pt>
                <c:pt idx="39">
                  <c:v>2.0040404040404001</c:v>
                </c:pt>
                <c:pt idx="40">
                  <c:v>2.0333333333333301</c:v>
                </c:pt>
                <c:pt idx="41">
                  <c:v>2.0626262626262601</c:v>
                </c:pt>
                <c:pt idx="42">
                  <c:v>2.0919191919191902</c:v>
                </c:pt>
                <c:pt idx="43">
                  <c:v>2.1212121212121202</c:v>
                </c:pt>
                <c:pt idx="44">
                  <c:v>2.1505050505050498</c:v>
                </c:pt>
                <c:pt idx="45">
                  <c:v>2.1797979797979798</c:v>
                </c:pt>
                <c:pt idx="46">
                  <c:v>2.2090909090909001</c:v>
                </c:pt>
                <c:pt idx="47">
                  <c:v>2.2383838383838301</c:v>
                </c:pt>
              </c:numCache>
            </c:numRef>
          </c:xVal>
          <c:yVal>
            <c:numRef>
              <c:f>'60000'!$AW$91:$AW$138</c:f>
              <c:numCache>
                <c:formatCode>General</c:formatCode>
                <c:ptCount val="48"/>
                <c:pt idx="0">
                  <c:v>11.778434070844616</c:v>
                </c:pt>
                <c:pt idx="1">
                  <c:v>12.007110142647466</c:v>
                </c:pt>
                <c:pt idx="2">
                  <c:v>12.247680262432574</c:v>
                </c:pt>
                <c:pt idx="3">
                  <c:v>12.500348303898946</c:v>
                </c:pt>
                <c:pt idx="4">
                  <c:v>12.765322110127697</c:v>
                </c:pt>
                <c:pt idx="5">
                  <c:v>13.042812378857736</c:v>
                </c:pt>
                <c:pt idx="6">
                  <c:v>13.333031475479634</c:v>
                </c:pt>
                <c:pt idx="7">
                  <c:v>13.636192167920544</c:v>
                </c:pt>
                <c:pt idx="8">
                  <c:v>13.952506277454635</c:v>
                </c:pt>
                <c:pt idx="9">
                  <c:v>14.282183239323706</c:v>
                </c:pt>
                <c:pt idx="10">
                  <c:v>14.625428566903715</c:v>
                </c:pt>
                <c:pt idx="11">
                  <c:v>14.982442212997423</c:v>
                </c:pt>
                <c:pt idx="12">
                  <c:v>15.553368267618286</c:v>
                </c:pt>
                <c:pt idx="13">
                  <c:v>15.840879391127345</c:v>
                </c:pt>
                <c:pt idx="14">
                  <c:v>16.170619603382949</c:v>
                </c:pt>
                <c:pt idx="15">
                  <c:v>16.509044051451777</c:v>
                </c:pt>
                <c:pt idx="16">
                  <c:v>16.855895776914952</c:v>
                </c:pt>
                <c:pt idx="17">
                  <c:v>17.210877048026507</c:v>
                </c:pt>
                <c:pt idx="18">
                  <c:v>17.573645743472042</c:v>
                </c:pt>
                <c:pt idx="19">
                  <c:v>17.943811538189067</c:v>
                </c:pt>
                <c:pt idx="20">
                  <c:v>18.32093188250893</c:v>
                </c:pt>
                <c:pt idx="21">
                  <c:v>18.704507765692792</c:v>
                </c:pt>
                <c:pt idx="22">
                  <c:v>19.093979254735853</c:v>
                </c:pt>
                <c:pt idx="23">
                  <c:v>19.4887207991206</c:v>
                </c:pt>
                <c:pt idx="24">
                  <c:v>19.888036292001313</c:v>
                </c:pt>
                <c:pt idx="25">
                  <c:v>20.291153878102051</c:v>
                </c:pt>
                <c:pt idx="26">
                  <c:v>20.697220498409383</c:v>
                </c:pt>
                <c:pt idx="27">
                  <c:v>21.105296161537723</c:v>
                </c:pt>
                <c:pt idx="28">
                  <c:v>21.51434793144054</c:v>
                </c:pt>
                <c:pt idx="29">
                  <c:v>21.923243620934876</c:v>
                </c:pt>
                <c:pt idx="30">
                  <c:v>22.330745180298777</c:v>
                </c:pt>
                <c:pt idx="31">
                  <c:v>22.735501769992702</c:v>
                </c:pt>
                <c:pt idx="32">
                  <c:v>23.136042506346072</c:v>
                </c:pt>
                <c:pt idx="33">
                  <c:v>23.530768868839406</c:v>
                </c:pt>
                <c:pt idx="34">
                  <c:v>23.917946757397754</c:v>
                </c:pt>
                <c:pt idx="35">
                  <c:v>24.295698187902808</c:v>
                </c:pt>
                <c:pt idx="36">
                  <c:v>24.661992613911536</c:v>
                </c:pt>
                <c:pt idx="37">
                  <c:v>25.014637862357453</c:v>
                </c:pt>
                <c:pt idx="38">
                  <c:v>25.351270670793379</c:v>
                </c:pt>
                <c:pt idx="39">
                  <c:v>25.669346813518004</c:v>
                </c:pt>
                <c:pt idx="40">
                  <c:v>25.966130803710886</c:v>
                </c:pt>
                <c:pt idx="41">
                  <c:v>26.238685158482287</c:v>
                </c:pt>
                <c:pt idx="42">
                  <c:v>26.483859213525598</c:v>
                </c:pt>
                <c:pt idx="43">
                  <c:v>26.698277473839589</c:v>
                </c:pt>
                <c:pt idx="44">
                  <c:v>26.878327486768956</c:v>
                </c:pt>
                <c:pt idx="45">
                  <c:v>27.020147223389611</c:v>
                </c:pt>
                <c:pt idx="46">
                  <c:v>27.119611954044196</c:v>
                </c:pt>
                <c:pt idx="47">
                  <c:v>27.172320603612619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F2-4297-A460-A1DCC0E9B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209440"/>
        <c:axId val="615216640"/>
      </c:scatterChart>
      <c:valAx>
        <c:axId val="615209440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16640"/>
        <c:crosses val="autoZero"/>
        <c:crossBetween val="midCat"/>
      </c:valAx>
      <c:valAx>
        <c:axId val="615216640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Thrust</a:t>
                </a:r>
                <a:r>
                  <a:rPr lang="en-US" sz="1600" baseline="0"/>
                  <a:t> (Klb)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0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'40000'!$W$25</c:f>
              <c:strCache>
                <c:ptCount val="1"/>
                <c:pt idx="0">
                  <c:v>Drag, Klb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'40000'!$V$36:$V$109</c:f>
              <c:numCache>
                <c:formatCode>General</c:formatCode>
                <c:ptCount val="74"/>
                <c:pt idx="0">
                  <c:v>0.39292929292929302</c:v>
                </c:pt>
                <c:pt idx="1">
                  <c:v>0.422222222222222</c:v>
                </c:pt>
                <c:pt idx="2">
                  <c:v>0.45151515151515198</c:v>
                </c:pt>
                <c:pt idx="3">
                  <c:v>0.48080808080808102</c:v>
                </c:pt>
                <c:pt idx="4">
                  <c:v>0.51010101010101006</c:v>
                </c:pt>
                <c:pt idx="5">
                  <c:v>0.53939393939393898</c:v>
                </c:pt>
                <c:pt idx="6">
                  <c:v>0.56868686868686902</c:v>
                </c:pt>
                <c:pt idx="7">
                  <c:v>0.59797979797979794</c:v>
                </c:pt>
                <c:pt idx="8">
                  <c:v>0.62727272727272698</c:v>
                </c:pt>
                <c:pt idx="9">
                  <c:v>0.65656565656565702</c:v>
                </c:pt>
                <c:pt idx="10">
                  <c:v>0.68585858585858595</c:v>
                </c:pt>
                <c:pt idx="11">
                  <c:v>0.71515151515151498</c:v>
                </c:pt>
                <c:pt idx="12">
                  <c:v>0.74444444444444402</c:v>
                </c:pt>
                <c:pt idx="13">
                  <c:v>0.77373737373737395</c:v>
                </c:pt>
                <c:pt idx="14">
                  <c:v>0.80303030303030298</c:v>
                </c:pt>
                <c:pt idx="15">
                  <c:v>0.83232323232323202</c:v>
                </c:pt>
                <c:pt idx="16">
                  <c:v>0.86161616161616195</c:v>
                </c:pt>
                <c:pt idx="17">
                  <c:v>0.89090909090909098</c:v>
                </c:pt>
                <c:pt idx="18">
                  <c:v>0.92020202020202002</c:v>
                </c:pt>
                <c:pt idx="19">
                  <c:v>0.94949494949494895</c:v>
                </c:pt>
                <c:pt idx="20">
                  <c:v>0.97878787878787898</c:v>
                </c:pt>
                <c:pt idx="21">
                  <c:v>1.0080808080807999</c:v>
                </c:pt>
                <c:pt idx="22">
                  <c:v>1.03737373737373</c:v>
                </c:pt>
                <c:pt idx="23">
                  <c:v>1.06666666666666</c:v>
                </c:pt>
                <c:pt idx="24">
                  <c:v>1.09595959595959</c:v>
                </c:pt>
                <c:pt idx="25">
                  <c:v>1.1252525252525201</c:v>
                </c:pt>
                <c:pt idx="26">
                  <c:v>1.1545454545454501</c:v>
                </c:pt>
                <c:pt idx="27">
                  <c:v>1.1838383838383799</c:v>
                </c:pt>
                <c:pt idx="28">
                  <c:v>1.21313131313131</c:v>
                </c:pt>
                <c:pt idx="29">
                  <c:v>1.24242424242424</c:v>
                </c:pt>
                <c:pt idx="30">
                  <c:v>1.27171717171717</c:v>
                </c:pt>
                <c:pt idx="31">
                  <c:v>1.3010101010101001</c:v>
                </c:pt>
                <c:pt idx="32">
                  <c:v>1.3303030303030301</c:v>
                </c:pt>
                <c:pt idx="33">
                  <c:v>1.3595959595959599</c:v>
                </c:pt>
                <c:pt idx="34">
                  <c:v>1.38888888888888</c:v>
                </c:pt>
                <c:pt idx="35">
                  <c:v>1.41818181818181</c:v>
                </c:pt>
                <c:pt idx="36">
                  <c:v>1.44747474747474</c:v>
                </c:pt>
                <c:pt idx="37">
                  <c:v>1.4767676767676701</c:v>
                </c:pt>
                <c:pt idx="38">
                  <c:v>1.5060606060606001</c:v>
                </c:pt>
                <c:pt idx="39">
                  <c:v>1.5353535353535299</c:v>
                </c:pt>
                <c:pt idx="40">
                  <c:v>1.56464646464646</c:v>
                </c:pt>
                <c:pt idx="41">
                  <c:v>1.59393939393939</c:v>
                </c:pt>
                <c:pt idx="42">
                  <c:v>1.62323232323232</c:v>
                </c:pt>
                <c:pt idx="43">
                  <c:v>1.6525252525252501</c:v>
                </c:pt>
                <c:pt idx="44">
                  <c:v>1.6818181818181801</c:v>
                </c:pt>
                <c:pt idx="45">
                  <c:v>1.7111111111111099</c:v>
                </c:pt>
                <c:pt idx="46">
                  <c:v>1.74040404040404</c:v>
                </c:pt>
                <c:pt idx="47">
                  <c:v>1.76969696969697</c:v>
                </c:pt>
                <c:pt idx="48">
                  <c:v>1.79898989898989</c:v>
                </c:pt>
                <c:pt idx="49">
                  <c:v>1.8282828282828201</c:v>
                </c:pt>
                <c:pt idx="50">
                  <c:v>1.8575757575757501</c:v>
                </c:pt>
                <c:pt idx="51">
                  <c:v>1.8868686868686799</c:v>
                </c:pt>
                <c:pt idx="52">
                  <c:v>1.91616161616161</c:v>
                </c:pt>
                <c:pt idx="53">
                  <c:v>1.94545454545454</c:v>
                </c:pt>
                <c:pt idx="54">
                  <c:v>1.97474747474747</c:v>
                </c:pt>
                <c:pt idx="55">
                  <c:v>2.0040404040404001</c:v>
                </c:pt>
                <c:pt idx="56">
                  <c:v>2.0333333333333301</c:v>
                </c:pt>
                <c:pt idx="57">
                  <c:v>2.0626262626262601</c:v>
                </c:pt>
                <c:pt idx="58">
                  <c:v>2.0919191919191902</c:v>
                </c:pt>
                <c:pt idx="59">
                  <c:v>2.1212121212121202</c:v>
                </c:pt>
                <c:pt idx="60">
                  <c:v>2.1505050505050498</c:v>
                </c:pt>
                <c:pt idx="61">
                  <c:v>2.1797979797979798</c:v>
                </c:pt>
                <c:pt idx="62">
                  <c:v>2.2090909090909001</c:v>
                </c:pt>
                <c:pt idx="63">
                  <c:v>2.2383838383838301</c:v>
                </c:pt>
                <c:pt idx="64">
                  <c:v>2.2676767676767602</c:v>
                </c:pt>
                <c:pt idx="65">
                  <c:v>2.2969696969696898</c:v>
                </c:pt>
                <c:pt idx="66">
                  <c:v>2.3262626262626198</c:v>
                </c:pt>
                <c:pt idx="67">
                  <c:v>2.3555555555555499</c:v>
                </c:pt>
                <c:pt idx="68">
                  <c:v>2.3848484848484799</c:v>
                </c:pt>
                <c:pt idx="69">
                  <c:v>2.4141414141414099</c:v>
                </c:pt>
                <c:pt idx="70">
                  <c:v>2.44343434343434</c:v>
                </c:pt>
                <c:pt idx="71">
                  <c:v>2.47272727272727</c:v>
                </c:pt>
                <c:pt idx="72">
                  <c:v>2.5020202020202</c:v>
                </c:pt>
                <c:pt idx="73">
                  <c:v>2.5313131313131301</c:v>
                </c:pt>
              </c:numCache>
            </c:numRef>
          </c:xVal>
          <c:yVal>
            <c:numRef>
              <c:f>'40000'!$W$36:$W$109</c:f>
              <c:numCache>
                <c:formatCode>General</c:formatCode>
                <c:ptCount val="74"/>
                <c:pt idx="0">
                  <c:v>57.504138446343852</c:v>
                </c:pt>
                <c:pt idx="1">
                  <c:v>50.177898844016497</c:v>
                </c:pt>
                <c:pt idx="2">
                  <c:v>44.312035295936802</c:v>
                </c:pt>
                <c:pt idx="3">
                  <c:v>39.567052070796422</c:v>
                </c:pt>
                <c:pt idx="4">
                  <c:v>35.698039333047632</c:v>
                </c:pt>
                <c:pt idx="5">
                  <c:v>32.524726307048255</c:v>
                </c:pt>
                <c:pt idx="6">
                  <c:v>29.912039537869418</c:v>
                </c:pt>
                <c:pt idx="7">
                  <c:v>27.757156435054615</c:v>
                </c:pt>
                <c:pt idx="8">
                  <c:v>25.980687465939372</c:v>
                </c:pt>
                <c:pt idx="9">
                  <c:v>24.520548062363183</c:v>
                </c:pt>
                <c:pt idx="10">
                  <c:v>23.327621867007117</c:v>
                </c:pt>
                <c:pt idx="11">
                  <c:v>22.362640941653204</c:v>
                </c:pt>
                <c:pt idx="12">
                  <c:v>21.593907741594009</c:v>
                </c:pt>
                <c:pt idx="13">
                  <c:v>20.995608951385535</c:v>
                </c:pt>
                <c:pt idx="14">
                  <c:v>20.546551748174533</c:v>
                </c:pt>
                <c:pt idx="15">
                  <c:v>20.229205735769114</c:v>
                </c:pt>
                <c:pt idx="16">
                  <c:v>20.028968881840363</c:v>
                </c:pt>
                <c:pt idx="17">
                  <c:v>19.933599542291219</c:v>
                </c:pt>
                <c:pt idx="18">
                  <c:v>21.089833333333299</c:v>
                </c:pt>
                <c:pt idx="19">
                  <c:v>19.3636666666666</c:v>
                </c:pt>
                <c:pt idx="20">
                  <c:v>17.6374999999999</c:v>
                </c:pt>
                <c:pt idx="21">
                  <c:v>15.9113333333333</c:v>
                </c:pt>
                <c:pt idx="22">
                  <c:v>14.1851666666666</c:v>
                </c:pt>
                <c:pt idx="23">
                  <c:v>16.899416881241063</c:v>
                </c:pt>
                <c:pt idx="24">
                  <c:v>17.346873727262444</c:v>
                </c:pt>
                <c:pt idx="25">
                  <c:v>18.071496014151684</c:v>
                </c:pt>
                <c:pt idx="26">
                  <c:v>18.882096157706744</c:v>
                </c:pt>
                <c:pt idx="27">
                  <c:v>19.738504006835765</c:v>
                </c:pt>
                <c:pt idx="28">
                  <c:v>20.62766296812114</c:v>
                </c:pt>
                <c:pt idx="29">
                  <c:v>21.544324879482399</c:v>
                </c:pt>
                <c:pt idx="30">
                  <c:v>22.486104149263308</c:v>
                </c:pt>
                <c:pt idx="31">
                  <c:v>23.451831442424393</c:v>
                </c:pt>
                <c:pt idx="32">
                  <c:v>25.887864564105886</c:v>
                </c:pt>
                <c:pt idx="33">
                  <c:v>26.926186128056678</c:v>
                </c:pt>
                <c:pt idx="34">
                  <c:v>27.996498870867832</c:v>
                </c:pt>
                <c:pt idx="35">
                  <c:v>29.093768075729081</c:v>
                </c:pt>
                <c:pt idx="36">
                  <c:v>30.216386351542077</c:v>
                </c:pt>
                <c:pt idx="37">
                  <c:v>31.363611083330813</c:v>
                </c:pt>
                <c:pt idx="38">
                  <c:v>32.535034938875945</c:v>
                </c:pt>
                <c:pt idx="39">
                  <c:v>33.730409732705304</c:v>
                </c:pt>
                <c:pt idx="40">
                  <c:v>34.949572417681537</c:v>
                </c:pt>
                <c:pt idx="41">
                  <c:v>36.192409230566838</c:v>
                </c:pt>
                <c:pt idx="42">
                  <c:v>37.458836580254214</c:v>
                </c:pt>
                <c:pt idx="43">
                  <c:v>38.748790143862536</c:v>
                </c:pt>
                <c:pt idx="44">
                  <c:v>40.062218324147452</c:v>
                </c:pt>
                <c:pt idx="45">
                  <c:v>41.399078169368188</c:v>
                </c:pt>
                <c:pt idx="46">
                  <c:v>42.759332750463933</c:v>
                </c:pt>
                <c:pt idx="47">
                  <c:v>44.142949433361764</c:v>
                </c:pt>
                <c:pt idx="48">
                  <c:v>45.549898717833251</c:v>
                </c:pt>
                <c:pt idx="49">
                  <c:v>46.980153443814721</c:v>
                </c:pt>
                <c:pt idx="50">
                  <c:v>48.433688240910286</c:v>
                </c:pt>
                <c:pt idx="51">
                  <c:v>49.910479141570441</c:v>
                </c:pt>
                <c:pt idx="52">
                  <c:v>51.410503305994645</c:v>
                </c:pt>
                <c:pt idx="53">
                  <c:v>52.933738824209151</c:v>
                </c:pt>
                <c:pt idx="54">
                  <c:v>54.480164572005101</c:v>
                </c:pt>
                <c:pt idx="55">
                  <c:v>56.04976010478029</c:v>
                </c:pt>
                <c:pt idx="56">
                  <c:v>57.642505578269734</c:v>
                </c:pt>
                <c:pt idx="57">
                  <c:v>59.258381688443279</c:v>
                </c:pt>
                <c:pt idx="58">
                  <c:v>60.897369625187146</c:v>
                </c:pt>
                <c:pt idx="59">
                  <c:v>62.559451035916382</c:v>
                </c:pt>
                <c:pt idx="60">
                  <c:v>64.244607996381703</c:v>
                </c:pt>
                <c:pt idx="61">
                  <c:v>65.95282298673429</c:v>
                </c:pt>
                <c:pt idx="62">
                  <c:v>67.684078871426138</c:v>
                </c:pt>
                <c:pt idx="63">
                  <c:v>69.438358881942449</c:v>
                </c:pt>
                <c:pt idx="64">
                  <c:v>71.215646601652097</c:v>
                </c:pt>
                <c:pt idx="65">
                  <c:v>73.015925952214872</c:v>
                </c:pt>
                <c:pt idx="66">
                  <c:v>74.839181181199081</c:v>
                </c:pt>
                <c:pt idx="67">
                  <c:v>76.685396850620549</c:v>
                </c:pt>
                <c:pt idx="68">
                  <c:v>78.554557826210271</c:v>
                </c:pt>
                <c:pt idx="69">
                  <c:v>80.446649267243501</c:v>
                </c:pt>
                <c:pt idx="70">
                  <c:v>82.361656616877866</c:v>
                </c:pt>
                <c:pt idx="71">
                  <c:v>84.299565592883752</c:v>
                </c:pt>
                <c:pt idx="72">
                  <c:v>86.260362178723824</c:v>
                </c:pt>
                <c:pt idx="73">
                  <c:v>88.244032614968162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C0-4C73-B737-BE6C516D3AAA}"/>
            </c:ext>
          </c:extLst>
        </c:ser>
        <c:ser>
          <c:idx val="1"/>
          <c:order val="1"/>
          <c:tx>
            <c:strRef>
              <c:f>'40000'!$X$25</c:f>
              <c:strCache>
                <c:ptCount val="1"/>
                <c:pt idx="0">
                  <c:v>Dry Thrust, Klb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'40000'!$V$36:$V$109</c:f>
              <c:numCache>
                <c:formatCode>General</c:formatCode>
                <c:ptCount val="74"/>
                <c:pt idx="0">
                  <c:v>0.39292929292929302</c:v>
                </c:pt>
                <c:pt idx="1">
                  <c:v>0.422222222222222</c:v>
                </c:pt>
                <c:pt idx="2">
                  <c:v>0.45151515151515198</c:v>
                </c:pt>
                <c:pt idx="3">
                  <c:v>0.48080808080808102</c:v>
                </c:pt>
                <c:pt idx="4">
                  <c:v>0.51010101010101006</c:v>
                </c:pt>
                <c:pt idx="5">
                  <c:v>0.53939393939393898</c:v>
                </c:pt>
                <c:pt idx="6">
                  <c:v>0.56868686868686902</c:v>
                </c:pt>
                <c:pt idx="7">
                  <c:v>0.59797979797979794</c:v>
                </c:pt>
                <c:pt idx="8">
                  <c:v>0.62727272727272698</c:v>
                </c:pt>
                <c:pt idx="9">
                  <c:v>0.65656565656565702</c:v>
                </c:pt>
                <c:pt idx="10">
                  <c:v>0.68585858585858595</c:v>
                </c:pt>
                <c:pt idx="11">
                  <c:v>0.71515151515151498</c:v>
                </c:pt>
                <c:pt idx="12">
                  <c:v>0.74444444444444402</c:v>
                </c:pt>
                <c:pt idx="13">
                  <c:v>0.77373737373737395</c:v>
                </c:pt>
                <c:pt idx="14">
                  <c:v>0.80303030303030298</c:v>
                </c:pt>
                <c:pt idx="15">
                  <c:v>0.83232323232323202</c:v>
                </c:pt>
                <c:pt idx="16">
                  <c:v>0.86161616161616195</c:v>
                </c:pt>
                <c:pt idx="17">
                  <c:v>0.89090909090909098</c:v>
                </c:pt>
                <c:pt idx="18">
                  <c:v>0.92020202020202002</c:v>
                </c:pt>
                <c:pt idx="19">
                  <c:v>0.94949494949494895</c:v>
                </c:pt>
                <c:pt idx="20">
                  <c:v>0.97878787878787898</c:v>
                </c:pt>
                <c:pt idx="21">
                  <c:v>1.0080808080807999</c:v>
                </c:pt>
                <c:pt idx="22">
                  <c:v>1.03737373737373</c:v>
                </c:pt>
                <c:pt idx="23">
                  <c:v>1.06666666666666</c:v>
                </c:pt>
                <c:pt idx="24">
                  <c:v>1.09595959595959</c:v>
                </c:pt>
                <c:pt idx="25">
                  <c:v>1.1252525252525201</c:v>
                </c:pt>
                <c:pt idx="26">
                  <c:v>1.1545454545454501</c:v>
                </c:pt>
                <c:pt idx="27">
                  <c:v>1.1838383838383799</c:v>
                </c:pt>
                <c:pt idx="28">
                  <c:v>1.21313131313131</c:v>
                </c:pt>
                <c:pt idx="29">
                  <c:v>1.24242424242424</c:v>
                </c:pt>
                <c:pt idx="30">
                  <c:v>1.27171717171717</c:v>
                </c:pt>
                <c:pt idx="31">
                  <c:v>1.3010101010101001</c:v>
                </c:pt>
                <c:pt idx="32">
                  <c:v>1.3303030303030301</c:v>
                </c:pt>
                <c:pt idx="33">
                  <c:v>1.3595959595959599</c:v>
                </c:pt>
                <c:pt idx="34">
                  <c:v>1.38888888888888</c:v>
                </c:pt>
                <c:pt idx="35">
                  <c:v>1.41818181818181</c:v>
                </c:pt>
                <c:pt idx="36">
                  <c:v>1.44747474747474</c:v>
                </c:pt>
                <c:pt idx="37">
                  <c:v>1.4767676767676701</c:v>
                </c:pt>
                <c:pt idx="38">
                  <c:v>1.5060606060606001</c:v>
                </c:pt>
                <c:pt idx="39">
                  <c:v>1.5353535353535299</c:v>
                </c:pt>
                <c:pt idx="40">
                  <c:v>1.56464646464646</c:v>
                </c:pt>
                <c:pt idx="41">
                  <c:v>1.59393939393939</c:v>
                </c:pt>
                <c:pt idx="42">
                  <c:v>1.62323232323232</c:v>
                </c:pt>
                <c:pt idx="43">
                  <c:v>1.6525252525252501</c:v>
                </c:pt>
                <c:pt idx="44">
                  <c:v>1.6818181818181801</c:v>
                </c:pt>
                <c:pt idx="45">
                  <c:v>1.7111111111111099</c:v>
                </c:pt>
                <c:pt idx="46">
                  <c:v>1.74040404040404</c:v>
                </c:pt>
                <c:pt idx="47">
                  <c:v>1.76969696969697</c:v>
                </c:pt>
                <c:pt idx="48">
                  <c:v>1.79898989898989</c:v>
                </c:pt>
                <c:pt idx="49">
                  <c:v>1.8282828282828201</c:v>
                </c:pt>
                <c:pt idx="50">
                  <c:v>1.8575757575757501</c:v>
                </c:pt>
                <c:pt idx="51">
                  <c:v>1.8868686868686799</c:v>
                </c:pt>
                <c:pt idx="52">
                  <c:v>1.91616161616161</c:v>
                </c:pt>
                <c:pt idx="53">
                  <c:v>1.94545454545454</c:v>
                </c:pt>
                <c:pt idx="54">
                  <c:v>1.97474747474747</c:v>
                </c:pt>
                <c:pt idx="55">
                  <c:v>2.0040404040404001</c:v>
                </c:pt>
                <c:pt idx="56">
                  <c:v>2.0333333333333301</c:v>
                </c:pt>
                <c:pt idx="57">
                  <c:v>2.0626262626262601</c:v>
                </c:pt>
                <c:pt idx="58">
                  <c:v>2.0919191919191902</c:v>
                </c:pt>
                <c:pt idx="59">
                  <c:v>2.1212121212121202</c:v>
                </c:pt>
                <c:pt idx="60">
                  <c:v>2.1505050505050498</c:v>
                </c:pt>
                <c:pt idx="61">
                  <c:v>2.1797979797979798</c:v>
                </c:pt>
                <c:pt idx="62">
                  <c:v>2.2090909090909001</c:v>
                </c:pt>
                <c:pt idx="63">
                  <c:v>2.2383838383838301</c:v>
                </c:pt>
                <c:pt idx="64">
                  <c:v>2.2676767676767602</c:v>
                </c:pt>
                <c:pt idx="65">
                  <c:v>2.2969696969696898</c:v>
                </c:pt>
                <c:pt idx="66">
                  <c:v>2.3262626262626198</c:v>
                </c:pt>
                <c:pt idx="67">
                  <c:v>2.3555555555555499</c:v>
                </c:pt>
                <c:pt idx="68">
                  <c:v>2.3848484848484799</c:v>
                </c:pt>
                <c:pt idx="69">
                  <c:v>2.4141414141414099</c:v>
                </c:pt>
                <c:pt idx="70">
                  <c:v>2.44343434343434</c:v>
                </c:pt>
                <c:pt idx="71">
                  <c:v>2.47272727272727</c:v>
                </c:pt>
                <c:pt idx="72">
                  <c:v>2.5020202020202</c:v>
                </c:pt>
                <c:pt idx="73">
                  <c:v>2.5313131313131301</c:v>
                </c:pt>
              </c:numCache>
            </c:numRef>
          </c:xVal>
          <c:yVal>
            <c:numRef>
              <c:f>'40000'!$X$36:$X$109</c:f>
              <c:numCache>
                <c:formatCode>General</c:formatCode>
                <c:ptCount val="74"/>
                <c:pt idx="0">
                  <c:v>36.236042019778154</c:v>
                </c:pt>
                <c:pt idx="1">
                  <c:v>36.320916420017717</c:v>
                </c:pt>
                <c:pt idx="2">
                  <c:v>36.421261064858946</c:v>
                </c:pt>
                <c:pt idx="3">
                  <c:v>36.536196279954737</c:v>
                </c:pt>
                <c:pt idx="4">
                  <c:v>36.664796260664971</c:v>
                </c:pt>
                <c:pt idx="5">
                  <c:v>36.806083052727637</c:v>
                </c:pt>
                <c:pt idx="6">
                  <c:v>36.959020228939046</c:v>
                </c:pt>
                <c:pt idx="7">
                  <c:v>37.122506244293668</c:v>
                </c:pt>
                <c:pt idx="8">
                  <c:v>37.295367451589925</c:v>
                </c:pt>
                <c:pt idx="9">
                  <c:v>37.476350759059073</c:v>
                </c:pt>
                <c:pt idx="10">
                  <c:v>37.664115911118806</c:v>
                </c:pt>
                <c:pt idx="11">
                  <c:v>37.8572273728916</c:v>
                </c:pt>
                <c:pt idx="12">
                  <c:v>38.054145798662319</c:v>
                </c:pt>
                <c:pt idx="13">
                  <c:v>38.253219063978101</c:v>
                </c:pt>
                <c:pt idx="14">
                  <c:v>38.452672840618803</c:v>
                </c:pt>
                <c:pt idx="15">
                  <c:v>38.650600693187357</c:v>
                </c:pt>
                <c:pt idx="16">
                  <c:v>38.844953675586062</c:v>
                </c:pt>
                <c:pt idx="17">
                  <c:v>39.033529405159321</c:v>
                </c:pt>
                <c:pt idx="18">
                  <c:v>39.213960591793885</c:v>
                </c:pt>
                <c:pt idx="19">
                  <c:v>39.383702998775519</c:v>
                </c:pt>
                <c:pt idx="20">
                  <c:v>39.540022811706287</c:v>
                </c:pt>
                <c:pt idx="21">
                  <c:v>39.679983391289923</c:v>
                </c:pt>
                <c:pt idx="22">
                  <c:v>39.800431385292462</c:v>
                </c:pt>
                <c:pt idx="23">
                  <c:v>39.897982174483879</c:v>
                </c:pt>
                <c:pt idx="24">
                  <c:v>39.969004626863935</c:v>
                </c:pt>
                <c:pt idx="25">
                  <c:v>40.009605133967817</c:v>
                </c:pt>
                <c:pt idx="26">
                  <c:v>40.015610902541994</c:v>
                </c:pt>
                <c:pt idx="27">
                  <c:v>39.982552474370195</c:v>
                </c:pt>
                <c:pt idx="28">
                  <c:v>39.905645446519578</c:v>
                </c:pt>
                <c:pt idx="29">
                  <c:v>39.779771363764887</c:v>
                </c:pt>
                <c:pt idx="30">
                  <c:v>39.599457754434845</c:v>
                </c:pt>
                <c:pt idx="31">
                  <c:v>39.358857280410021</c:v>
                </c:pt>
                <c:pt idx="32">
                  <c:v>39.051725971485126</c:v>
                </c:pt>
                <c:pt idx="33">
                  <c:v>38.671400513791305</c:v>
                </c:pt>
                <c:pt idx="34">
                  <c:v>38.210774561454862</c:v>
                </c:pt>
                <c:pt idx="35">
                  <c:v>37.662274040148354</c:v>
                </c:pt>
                <c:pt idx="36">
                  <c:v>37.017831410671342</c:v>
                </c:pt>
                <c:pt idx="37">
                  <c:v>36.268858860170745</c:v>
                </c:pt>
                <c:pt idx="38">
                  <c:v>35.406220388092578</c:v>
                </c:pt>
                <c:pt idx="39">
                  <c:v>34.420202753428669</c:v>
                </c:pt>
                <c:pt idx="40">
                  <c:v>33.300485249298092</c:v>
                </c:pt>
                <c:pt idx="41">
                  <c:v>32.036108270375387</c:v>
                </c:pt>
                <c:pt idx="42">
                  <c:v>30.615440638150432</c:v>
                </c:pt>
                <c:pt idx="43">
                  <c:v>29.026145648476277</c:v>
                </c:pt>
                <c:pt idx="44">
                  <c:v>27.255145805330876</c:v>
                </c:pt>
                <c:pt idx="45">
                  <c:v>25.28858620418908</c:v>
                </c:pt>
                <c:pt idx="46">
                  <c:v>23.11179652786841</c:v>
                </c:pt>
                <c:pt idx="47">
                  <c:v>20.709251617181348</c:v>
                </c:pt>
                <c:pt idx="48">
                  <c:v>18.064530578192979</c:v>
                </c:pt>
                <c:pt idx="49">
                  <c:v>15.160274387342877</c:v>
                </c:pt>
                <c:pt idx="50">
                  <c:v>11.978141955174761</c:v>
                </c:pt>
                <c:pt idx="51">
                  <c:v>8.4987646088489512</c:v>
                </c:pt>
                <c:pt idx="52">
                  <c:v>4.7016989531085018</c:v>
                </c:pt>
                <c:pt idx="53">
                  <c:v>0.56537806881333486</c:v>
                </c:pt>
                <c:pt idx="54">
                  <c:v>-3.9329389923755822</c:v>
                </c:pt>
                <c:pt idx="55">
                  <c:v>-8.8172194591186166</c:v>
                </c:pt>
                <c:pt idx="56">
                  <c:v>-14.11271087982335</c:v>
                </c:pt>
                <c:pt idx="57">
                  <c:v>-19.845996993410655</c:v>
                </c:pt>
                <c:pt idx="58">
                  <c:v>-26.045055474998783</c:v>
                </c:pt>
                <c:pt idx="59">
                  <c:v>-32.739317600624688</c:v>
                </c:pt>
                <c:pt idx="60">
                  <c:v>-39.959729875662937</c:v>
                </c:pt>
                <c:pt idx="61">
                  <c:v>-47.738817672147846</c:v>
                </c:pt>
                <c:pt idx="62">
                  <c:v>-56.110750920740074</c:v>
                </c:pt>
                <c:pt idx="63">
                  <c:v>-65.111411903648502</c:v>
                </c:pt>
                <c:pt idx="64">
                  <c:v>-74.778465195299134</c:v>
                </c:pt>
                <c:pt idx="65">
                  <c:v>-85.151429798184452</c:v>
                </c:pt>
                <c:pt idx="66">
                  <c:v>-96.271753521781861</c:v>
                </c:pt>
                <c:pt idx="67">
                  <c:v>-108.1828896530218</c:v>
                </c:pt>
                <c:pt idx="68">
                  <c:v>-120.93037596732803</c:v>
                </c:pt>
                <c:pt idx="69">
                  <c:v>-134.56191612978452</c:v>
                </c:pt>
                <c:pt idx="70">
                  <c:v>-149.12746353654856</c:v>
                </c:pt>
                <c:pt idx="71">
                  <c:v>-164.6793076471605</c:v>
                </c:pt>
                <c:pt idx="72">
                  <c:v>-181.27216285896282</c:v>
                </c:pt>
                <c:pt idx="73">
                  <c:v>-198.9632599753765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C0-4C73-B737-BE6C516D3AAA}"/>
            </c:ext>
          </c:extLst>
        </c:ser>
        <c:ser>
          <c:idx val="2"/>
          <c:order val="2"/>
          <c:tx>
            <c:strRef>
              <c:f>'40000'!$Y$25</c:f>
              <c:strCache>
                <c:ptCount val="1"/>
                <c:pt idx="0">
                  <c:v>AB Thrust, Klb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'40000'!$V$36:$V$109</c:f>
              <c:numCache>
                <c:formatCode>General</c:formatCode>
                <c:ptCount val="74"/>
                <c:pt idx="0">
                  <c:v>0.39292929292929302</c:v>
                </c:pt>
                <c:pt idx="1">
                  <c:v>0.422222222222222</c:v>
                </c:pt>
                <c:pt idx="2">
                  <c:v>0.45151515151515198</c:v>
                </c:pt>
                <c:pt idx="3">
                  <c:v>0.48080808080808102</c:v>
                </c:pt>
                <c:pt idx="4">
                  <c:v>0.51010101010101006</c:v>
                </c:pt>
                <c:pt idx="5">
                  <c:v>0.53939393939393898</c:v>
                </c:pt>
                <c:pt idx="6">
                  <c:v>0.56868686868686902</c:v>
                </c:pt>
                <c:pt idx="7">
                  <c:v>0.59797979797979794</c:v>
                </c:pt>
                <c:pt idx="8">
                  <c:v>0.62727272727272698</c:v>
                </c:pt>
                <c:pt idx="9">
                  <c:v>0.65656565656565702</c:v>
                </c:pt>
                <c:pt idx="10">
                  <c:v>0.68585858585858595</c:v>
                </c:pt>
                <c:pt idx="11">
                  <c:v>0.71515151515151498</c:v>
                </c:pt>
                <c:pt idx="12">
                  <c:v>0.74444444444444402</c:v>
                </c:pt>
                <c:pt idx="13">
                  <c:v>0.77373737373737395</c:v>
                </c:pt>
                <c:pt idx="14">
                  <c:v>0.80303030303030298</c:v>
                </c:pt>
                <c:pt idx="15">
                  <c:v>0.83232323232323202</c:v>
                </c:pt>
                <c:pt idx="16">
                  <c:v>0.86161616161616195</c:v>
                </c:pt>
                <c:pt idx="17">
                  <c:v>0.89090909090909098</c:v>
                </c:pt>
                <c:pt idx="18">
                  <c:v>0.92020202020202002</c:v>
                </c:pt>
                <c:pt idx="19">
                  <c:v>0.94949494949494895</c:v>
                </c:pt>
                <c:pt idx="20">
                  <c:v>0.97878787878787898</c:v>
                </c:pt>
                <c:pt idx="21">
                  <c:v>1.0080808080807999</c:v>
                </c:pt>
                <c:pt idx="22">
                  <c:v>1.03737373737373</c:v>
                </c:pt>
                <c:pt idx="23">
                  <c:v>1.06666666666666</c:v>
                </c:pt>
                <c:pt idx="24">
                  <c:v>1.09595959595959</c:v>
                </c:pt>
                <c:pt idx="25">
                  <c:v>1.1252525252525201</c:v>
                </c:pt>
                <c:pt idx="26">
                  <c:v>1.1545454545454501</c:v>
                </c:pt>
                <c:pt idx="27">
                  <c:v>1.1838383838383799</c:v>
                </c:pt>
                <c:pt idx="28">
                  <c:v>1.21313131313131</c:v>
                </c:pt>
                <c:pt idx="29">
                  <c:v>1.24242424242424</c:v>
                </c:pt>
                <c:pt idx="30">
                  <c:v>1.27171717171717</c:v>
                </c:pt>
                <c:pt idx="31">
                  <c:v>1.3010101010101001</c:v>
                </c:pt>
                <c:pt idx="32">
                  <c:v>1.3303030303030301</c:v>
                </c:pt>
                <c:pt idx="33">
                  <c:v>1.3595959595959599</c:v>
                </c:pt>
                <c:pt idx="34">
                  <c:v>1.38888888888888</c:v>
                </c:pt>
                <c:pt idx="35">
                  <c:v>1.41818181818181</c:v>
                </c:pt>
                <c:pt idx="36">
                  <c:v>1.44747474747474</c:v>
                </c:pt>
                <c:pt idx="37">
                  <c:v>1.4767676767676701</c:v>
                </c:pt>
                <c:pt idx="38">
                  <c:v>1.5060606060606001</c:v>
                </c:pt>
                <c:pt idx="39">
                  <c:v>1.5353535353535299</c:v>
                </c:pt>
                <c:pt idx="40">
                  <c:v>1.56464646464646</c:v>
                </c:pt>
                <c:pt idx="41">
                  <c:v>1.59393939393939</c:v>
                </c:pt>
                <c:pt idx="42">
                  <c:v>1.62323232323232</c:v>
                </c:pt>
                <c:pt idx="43">
                  <c:v>1.6525252525252501</c:v>
                </c:pt>
                <c:pt idx="44">
                  <c:v>1.6818181818181801</c:v>
                </c:pt>
                <c:pt idx="45">
                  <c:v>1.7111111111111099</c:v>
                </c:pt>
                <c:pt idx="46">
                  <c:v>1.74040404040404</c:v>
                </c:pt>
                <c:pt idx="47">
                  <c:v>1.76969696969697</c:v>
                </c:pt>
                <c:pt idx="48">
                  <c:v>1.79898989898989</c:v>
                </c:pt>
                <c:pt idx="49">
                  <c:v>1.8282828282828201</c:v>
                </c:pt>
                <c:pt idx="50">
                  <c:v>1.8575757575757501</c:v>
                </c:pt>
                <c:pt idx="51">
                  <c:v>1.8868686868686799</c:v>
                </c:pt>
                <c:pt idx="52">
                  <c:v>1.91616161616161</c:v>
                </c:pt>
                <c:pt idx="53">
                  <c:v>1.94545454545454</c:v>
                </c:pt>
                <c:pt idx="54">
                  <c:v>1.97474747474747</c:v>
                </c:pt>
                <c:pt idx="55">
                  <c:v>2.0040404040404001</c:v>
                </c:pt>
                <c:pt idx="56">
                  <c:v>2.0333333333333301</c:v>
                </c:pt>
                <c:pt idx="57">
                  <c:v>2.0626262626262601</c:v>
                </c:pt>
                <c:pt idx="58">
                  <c:v>2.0919191919191902</c:v>
                </c:pt>
                <c:pt idx="59">
                  <c:v>2.1212121212121202</c:v>
                </c:pt>
                <c:pt idx="60">
                  <c:v>2.1505050505050498</c:v>
                </c:pt>
                <c:pt idx="61">
                  <c:v>2.1797979797979798</c:v>
                </c:pt>
                <c:pt idx="62">
                  <c:v>2.2090909090909001</c:v>
                </c:pt>
                <c:pt idx="63">
                  <c:v>2.2383838383838301</c:v>
                </c:pt>
                <c:pt idx="64">
                  <c:v>2.2676767676767602</c:v>
                </c:pt>
                <c:pt idx="65">
                  <c:v>2.2969696969696898</c:v>
                </c:pt>
                <c:pt idx="66">
                  <c:v>2.3262626262626198</c:v>
                </c:pt>
                <c:pt idx="67">
                  <c:v>2.3555555555555499</c:v>
                </c:pt>
                <c:pt idx="68">
                  <c:v>2.3848484848484799</c:v>
                </c:pt>
                <c:pt idx="69">
                  <c:v>2.4141414141414099</c:v>
                </c:pt>
                <c:pt idx="70">
                  <c:v>2.44343434343434</c:v>
                </c:pt>
                <c:pt idx="71">
                  <c:v>2.47272727272727</c:v>
                </c:pt>
                <c:pt idx="72">
                  <c:v>2.5020202020202</c:v>
                </c:pt>
                <c:pt idx="73">
                  <c:v>2.5313131313131301</c:v>
                </c:pt>
              </c:numCache>
            </c:numRef>
          </c:xVal>
          <c:yVal>
            <c:numRef>
              <c:f>'40000'!$Y$36:$Y$109</c:f>
              <c:numCache>
                <c:formatCode>General</c:formatCode>
                <c:ptCount val="74"/>
                <c:pt idx="0">
                  <c:v>49.296657237368144</c:v>
                </c:pt>
                <c:pt idx="1">
                  <c:v>49.611503422290411</c:v>
                </c:pt>
                <c:pt idx="2">
                  <c:v>49.953873309756567</c:v>
                </c:pt>
                <c:pt idx="3">
                  <c:v>50.323233753572303</c:v>
                </c:pt>
                <c:pt idx="4">
                  <c:v>50.719053459464646</c:v>
                </c:pt>
                <c:pt idx="5">
                  <c:v>51.140792252967437</c:v>
                </c:pt>
                <c:pt idx="6">
                  <c:v>51.587891660704315</c:v>
                </c:pt>
                <c:pt idx="7">
                  <c:v>52.059766357413011</c:v>
                </c:pt>
                <c:pt idx="8">
                  <c:v>52.555796168048005</c:v>
                </c:pt>
                <c:pt idx="9">
                  <c:v>53.075318403853608</c:v>
                </c:pt>
                <c:pt idx="10">
                  <c:v>53.61762037120932</c:v>
                </c:pt>
                <c:pt idx="11">
                  <c:v>54.181931932957191</c:v>
                </c:pt>
                <c:pt idx="12">
                  <c:v>54.767418030369456</c:v>
                </c:pt>
                <c:pt idx="13">
                  <c:v>55.373171094025324</c:v>
                </c:pt>
                <c:pt idx="14">
                  <c:v>55.998203286291215</c:v>
                </c:pt>
                <c:pt idx="15">
                  <c:v>56.641438528585432</c:v>
                </c:pt>
                <c:pt idx="16">
                  <c:v>57.301704274317409</c:v>
                </c:pt>
                <c:pt idx="17">
                  <c:v>57.977722994124115</c:v>
                </c:pt>
                <c:pt idx="18">
                  <c:v>58.668103344324564</c:v>
                </c:pt>
                <c:pt idx="19">
                  <c:v>59.371330992765188</c:v>
                </c:pt>
                <c:pt idx="20">
                  <c:v>60.085759078705948</c:v>
                </c:pt>
                <c:pt idx="21">
                  <c:v>60.809598285296751</c:v>
                </c:pt>
                <c:pt idx="22">
                  <c:v>61.540906504657656</c:v>
                </c:pt>
                <c:pt idx="23">
                  <c:v>62.277578076705659</c:v>
                </c:pt>
                <c:pt idx="24">
                  <c:v>63.01733258375706</c:v>
                </c:pt>
                <c:pt idx="25">
                  <c:v>63.757703183611554</c:v>
                </c:pt>
                <c:pt idx="26">
                  <c:v>64.496024464362549</c:v>
                </c:pt>
                <c:pt idx="27">
                  <c:v>65.229419804591188</c:v>
                </c:pt>
                <c:pt idx="28">
                  <c:v>65.954788222925416</c:v>
                </c:pt>
                <c:pt idx="29">
                  <c:v>66.66879070119596</c:v>
                </c:pt>
                <c:pt idx="30">
                  <c:v>67.367835965614219</c:v>
                </c:pt>
                <c:pt idx="31">
                  <c:v>68.048065710544691</c:v>
                </c:pt>
                <c:pt idx="32">
                  <c:v>68.705339249556303</c:v>
                </c:pt>
                <c:pt idx="33">
                  <c:v>69.335217578520385</c:v>
                </c:pt>
                <c:pt idx="34">
                  <c:v>69.932946835582257</c:v>
                </c:pt>
                <c:pt idx="35">
                  <c:v>70.49344114287743</c:v>
                </c:pt>
                <c:pt idx="36">
                  <c:v>71.011264814885706</c:v>
                </c:pt>
                <c:pt idx="37">
                  <c:v>71.48061391833977</c:v>
                </c:pt>
                <c:pt idx="38">
                  <c:v>71.895297168603832</c:v>
                </c:pt>
                <c:pt idx="39">
                  <c:v>72.248716147440646</c:v>
                </c:pt>
                <c:pt idx="40">
                  <c:v>72.533844827078056</c:v>
                </c:pt>
                <c:pt idx="41">
                  <c:v>72.743208385473054</c:v>
                </c:pt>
                <c:pt idx="42">
                  <c:v>72.868861297657602</c:v>
                </c:pt>
                <c:pt idx="43">
                  <c:v>72.90236468803127</c:v>
                </c:pt>
                <c:pt idx="44">
                  <c:v>72.834762928445542</c:v>
                </c:pt>
                <c:pt idx="45">
                  <c:v>72.656559466902863</c:v>
                </c:pt>
                <c:pt idx="46">
                  <c:v>72.357691871668393</c:v>
                </c:pt>
                <c:pt idx="47">
                  <c:v>71.92750607556998</c:v>
                </c:pt>
                <c:pt idx="48">
                  <c:v>71.354729805235735</c:v>
                </c:pt>
                <c:pt idx="49">
                  <c:v>70.627445179989635</c:v>
                </c:pt>
                <c:pt idx="50">
                  <c:v>69.733060465107144</c:v>
                </c:pt>
                <c:pt idx="51">
                  <c:v>68.658280964095695</c:v>
                </c:pt>
                <c:pt idx="52">
                  <c:v>67.389079034647949</c:v>
                </c:pt>
                <c:pt idx="53">
                  <c:v>65.910663212882682</c:v>
                </c:pt>
                <c:pt idx="54">
                  <c:v>64.207446430464344</c:v>
                </c:pt>
                <c:pt idx="55">
                  <c:v>62.263013309164798</c:v>
                </c:pt>
                <c:pt idx="56">
                  <c:v>60.060086517404166</c:v>
                </c:pt>
                <c:pt idx="57">
                  <c:v>57.58049217328108</c:v>
                </c:pt>
                <c:pt idx="58">
                  <c:v>54.805124278577161</c:v>
                </c:pt>
                <c:pt idx="59">
                  <c:v>51.713908168191111</c:v>
                </c:pt>
                <c:pt idx="60">
                  <c:v>48.285762959437967</c:v>
                </c:pt>
                <c:pt idx="61">
                  <c:v>44.498562985614626</c:v>
                </c:pt>
                <c:pt idx="62">
                  <c:v>40.329098198215803</c:v>
                </c:pt>
                <c:pt idx="63">
                  <c:v>35.753033522144449</c:v>
                </c:pt>
                <c:pt idx="64">
                  <c:v>30.744867148265673</c:v>
                </c:pt>
                <c:pt idx="65">
                  <c:v>25.277887747580255</c:v>
                </c:pt>
                <c:pt idx="66">
                  <c:v>19.324130591313398</c:v>
                </c:pt>
                <c:pt idx="67">
                  <c:v>12.854332561165913</c:v>
                </c:pt>
                <c:pt idx="68">
                  <c:v>5.8378860339506708</c:v>
                </c:pt>
                <c:pt idx="69">
                  <c:v>-1.757208375177373</c:v>
                </c:pt>
                <c:pt idx="70">
                  <c:v>-9.9643902267273567</c:v>
                </c:pt>
                <c:pt idx="71">
                  <c:v>-18.818588843958832</c:v>
                </c:pt>
                <c:pt idx="72">
                  <c:v>-28.35627408892341</c:v>
                </c:pt>
                <c:pt idx="73">
                  <c:v>-38.615508343359139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C0-4C73-B737-BE6C516D3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604144"/>
        <c:axId val="1576602224"/>
      </c:scatterChart>
      <c:valAx>
        <c:axId val="157660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02224"/>
        <c:crosses val="autoZero"/>
        <c:crossBetween val="midCat"/>
      </c:valAx>
      <c:valAx>
        <c:axId val="15766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(Klb)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0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'40000'!$Z$25</c:f>
              <c:strCache>
                <c:ptCount val="1"/>
                <c:pt idx="0">
                  <c:v>L/D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'40000'!$Z$26:$Z$125</c:f>
              <c:numCache>
                <c:formatCode>General</c:formatCode>
                <c:ptCount val="100"/>
                <c:pt idx="0">
                  <c:v>0.16441866651673878</c:v>
                </c:pt>
                <c:pt idx="1">
                  <c:v>0.27510452765400767</c:v>
                </c:pt>
                <c:pt idx="2">
                  <c:v>0.41427944856810256</c:v>
                </c:pt>
                <c:pt idx="3">
                  <c:v>0.58196818516683158</c:v>
                </c:pt>
                <c:pt idx="4">
                  <c:v>0.77808069953833825</c:v>
                </c:pt>
                <c:pt idx="5">
                  <c:v>1.0023453314063728</c:v>
                </c:pt>
                <c:pt idx="6">
                  <c:v>1.2542318520033719</c:v>
                </c:pt>
                <c:pt idx="7">
                  <c:v>1.5328666304328453</c:v>
                </c:pt>
                <c:pt idx="8">
                  <c:v>1.8369436050891284</c:v>
                </c:pt>
                <c:pt idx="9">
                  <c:v>2.1646365154076501</c:v>
                </c:pt>
                <c:pt idx="10">
                  <c:v>2.513519755362752</c:v>
                </c:pt>
                <c:pt idx="11">
                  <c:v>2.8805069827517404</c:v>
                </c:pt>
                <c:pt idx="12">
                  <c:v>3.2618178568126703</c:v>
                </c:pt>
                <c:pt idx="13">
                  <c:v>3.6529834909454921</c:v>
                </c:pt>
                <c:pt idx="14">
                  <c:v>4.0488999031998221</c:v>
                </c:pt>
                <c:pt idx="15">
                  <c:v>4.443935565683085</c:v>
                </c:pt>
                <c:pt idx="16">
                  <c:v>4.8320940408296593</c:v>
                </c:pt>
                <c:pt idx="17">
                  <c:v>5.2072260477468317</c:v>
                </c:pt>
                <c:pt idx="18">
                  <c:v>5.5632780383309237</c:v>
                </c:pt>
                <c:pt idx="19">
                  <c:v>5.8945578064730295</c:v>
                </c:pt>
                <c:pt idx="20">
                  <c:v>6.1959932660098405</c:v>
                </c:pt>
                <c:pt idx="21">
                  <c:v>6.4633595100469696</c:v>
                </c:pt>
                <c:pt idx="22">
                  <c:v>6.6934521407439611</c:v>
                </c:pt>
                <c:pt idx="23">
                  <c:v>6.8841912770747093</c:v>
                </c:pt>
                <c:pt idx="24">
                  <c:v>7.0346494035351457</c:v>
                </c:pt>
                <c:pt idx="25">
                  <c:v>7.1450055868693596</c:v>
                </c:pt>
                <c:pt idx="26">
                  <c:v>7.2164367947592085</c:v>
                </c:pt>
                <c:pt idx="27">
                  <c:v>7.2509627623123434</c:v>
                </c:pt>
                <c:pt idx="28">
                  <c:v>13.044766173966698</c:v>
                </c:pt>
                <c:pt idx="29">
                  <c:v>12.252292199937328</c:v>
                </c:pt>
                <c:pt idx="30">
                  <c:v>11.529898885965025</c:v>
                </c:pt>
                <c:pt idx="31">
                  <c:v>11.048962947273255</c:v>
                </c:pt>
                <c:pt idx="32">
                  <c:v>6.2406592914487327</c:v>
                </c:pt>
                <c:pt idx="33">
                  <c:v>8.5528269416468401</c:v>
                </c:pt>
                <c:pt idx="34">
                  <c:v>8.3322096115130861</c:v>
                </c:pt>
                <c:pt idx="35">
                  <c:v>7.9981086173946681</c:v>
                </c:pt>
                <c:pt idx="36">
                  <c:v>7.654753306666473</c:v>
                </c:pt>
                <c:pt idx="37">
                  <c:v>7.3226313377115213</c:v>
                </c:pt>
                <c:pt idx="38">
                  <c:v>7.0069880540211846</c:v>
                </c:pt>
                <c:pt idx="39">
                  <c:v>6.7088566853932665</c:v>
                </c:pt>
                <c:pt idx="40">
                  <c:v>6.427871499685077</c:v>
                </c:pt>
                <c:pt idx="41">
                  <c:v>6.1631769934407323</c:v>
                </c:pt>
                <c:pt idx="42">
                  <c:v>5.5832255936785495</c:v>
                </c:pt>
                <c:pt idx="43">
                  <c:v>5.3679264977446559</c:v>
                </c:pt>
                <c:pt idx="44">
                  <c:v>5.1627094040105455</c:v>
                </c:pt>
                <c:pt idx="45">
                  <c:v>4.9679982195423449</c:v>
                </c:pt>
                <c:pt idx="46">
                  <c:v>4.7834240110126069</c:v>
                </c:pt>
                <c:pt idx="47">
                  <c:v>4.6084549261873491</c:v>
                </c:pt>
                <c:pt idx="48">
                  <c:v>4.4425275175374876</c:v>
                </c:pt>
                <c:pt idx="49">
                  <c:v>4.2850884156279569</c:v>
                </c:pt>
                <c:pt idx="50">
                  <c:v>4.1356096227053145</c:v>
                </c:pt>
                <c:pt idx="51">
                  <c:v>3.9935939903643787</c:v>
                </c:pt>
                <c:pt idx="52">
                  <c:v>3.858576538818363</c:v>
                </c:pt>
                <c:pt idx="53">
                  <c:v>3.730123894536447</c:v>
                </c:pt>
                <c:pt idx="54">
                  <c:v>3.6078328671300763</c:v>
                </c:pt>
                <c:pt idx="55">
                  <c:v>3.491328657335798</c:v>
                </c:pt>
                <c:pt idx="56">
                  <c:v>3.3802629438466107</c:v>
                </c:pt>
                <c:pt idx="57">
                  <c:v>3.2743119763257855</c:v>
                </c:pt>
                <c:pt idx="58">
                  <c:v>3.1731747395392551</c:v>
                </c:pt>
                <c:pt idx="59">
                  <c:v>3.0765712200761119</c:v>
                </c:pt>
                <c:pt idx="60">
                  <c:v>2.9842407887886977</c:v>
                </c:pt>
                <c:pt idx="61">
                  <c:v>2.8959407019519969</c:v>
                </c:pt>
                <c:pt idx="62">
                  <c:v>2.8114447185959834</c:v>
                </c:pt>
                <c:pt idx="63">
                  <c:v>2.7305418285302743</c:v>
                </c:pt>
                <c:pt idx="64">
                  <c:v>2.6530350841537551</c:v>
                </c:pt>
                <c:pt idx="65">
                  <c:v>2.5787405285910023</c:v>
                </c:pt>
                <c:pt idx="66">
                  <c:v>2.5074862126480562</c:v>
                </c:pt>
                <c:pt idx="67">
                  <c:v>2.4391112933174837</c:v>
                </c:pt>
                <c:pt idx="68">
                  <c:v>2.3734652069474476</c:v>
                </c:pt>
                <c:pt idx="69">
                  <c:v>2.3104069106523735</c:v>
                </c:pt>
                <c:pt idx="70">
                  <c:v>2.2498041860281948</c:v>
                </c:pt>
                <c:pt idx="71">
                  <c:v>2.1915329997181812</c:v>
                </c:pt>
                <c:pt idx="72">
                  <c:v>2.1354769158425939</c:v>
                </c:pt>
                <c:pt idx="73">
                  <c:v>2.0815265557433453</c:v>
                </c:pt>
                <c:pt idx="74">
                  <c:v>2.0295791009029038</c:v>
                </c:pt>
                <c:pt idx="75">
                  <c:v>1.9795378352743542</c:v>
                </c:pt>
                <c:pt idx="76">
                  <c:v>1.9313117236016797</c:v>
                </c:pt>
                <c:pt idx="77">
                  <c:v>1.8848150226248765</c:v>
                </c:pt>
                <c:pt idx="78">
                  <c:v>1.8399669223492716</c:v>
                </c:pt>
                <c:pt idx="79">
                  <c:v>1.7966912148179839</c:v>
                </c:pt>
                <c:pt idx="80">
                  <c:v>1.7549159880591907</c:v>
                </c:pt>
                <c:pt idx="81">
                  <c:v>1.7145733430944432</c:v>
                </c:pt>
                <c:pt idx="82">
                  <c:v>1.675599132084914</c:v>
                </c:pt>
                <c:pt idx="83">
                  <c:v>1.6379327158659693</c:v>
                </c:pt>
                <c:pt idx="84">
                  <c:v>1.6015167392789067</c:v>
                </c:pt>
                <c:pt idx="85">
                  <c:v>1.5662969228493173</c:v>
                </c:pt>
                <c:pt idx="86">
                  <c:v>1.532221869490463</c:v>
                </c:pt>
                <c:pt idx="87">
                  <c:v>1.4992428850280441</c:v>
                </c:pt>
                <c:pt idx="88">
                  <c:v>1.4673138114457411</c:v>
                </c:pt>
                <c:pt idx="89">
                  <c:v>1.4363908718485416</c:v>
                </c:pt>
                <c:pt idx="90">
                  <c:v>1.4064325262256656</c:v>
                </c:pt>
                <c:pt idx="91">
                  <c:v>1.3773993371753868</c:v>
                </c:pt>
                <c:pt idx="92">
                  <c:v>1.3492538448242173</c:v>
                </c:pt>
                <c:pt idx="93">
                  <c:v>1.3219604502371194</c:v>
                </c:pt>
                <c:pt idx="94">
                  <c:v>1.2954853066764105</c:v>
                </c:pt>
                <c:pt idx="95">
                  <c:v>1.2697962181177898</c:v>
                </c:pt>
                <c:pt idx="96">
                  <c:v>1.2448625444835775</c:v>
                </c:pt>
                <c:pt idx="97">
                  <c:v>1.2206551130948713</c:v>
                </c:pt>
                <c:pt idx="98">
                  <c:v>1.1971461358867845</c:v>
                </c:pt>
                <c:pt idx="99">
                  <c:v>1.1743091319666548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72-4996-83D1-675725F44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453584"/>
        <c:axId val="926449744"/>
      </c:scatterChart>
      <c:valAx>
        <c:axId val="9264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49744"/>
        <c:crosses val="autoZero"/>
        <c:crossBetween val="midCat"/>
      </c:valAx>
      <c:valAx>
        <c:axId val="9264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5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Required &amp; Available (wet, dry) vs 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'40000'!$AD$25</c:f>
              <c:strCache>
                <c:ptCount val="1"/>
                <c:pt idx="0">
                  <c:v>Power Required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'40000'!$V$41:$V$104</c:f>
              <c:numCache>
                <c:formatCode>General</c:formatCode>
                <c:ptCount val="64"/>
                <c:pt idx="0">
                  <c:v>0.53939393939393898</c:v>
                </c:pt>
                <c:pt idx="1">
                  <c:v>0.56868686868686902</c:v>
                </c:pt>
                <c:pt idx="2">
                  <c:v>0.59797979797979794</c:v>
                </c:pt>
                <c:pt idx="3">
                  <c:v>0.62727272727272698</c:v>
                </c:pt>
                <c:pt idx="4">
                  <c:v>0.65656565656565702</c:v>
                </c:pt>
                <c:pt idx="5">
                  <c:v>0.68585858585858595</c:v>
                </c:pt>
                <c:pt idx="6">
                  <c:v>0.71515151515151498</c:v>
                </c:pt>
                <c:pt idx="7">
                  <c:v>0.74444444444444402</c:v>
                </c:pt>
                <c:pt idx="8">
                  <c:v>0.77373737373737395</c:v>
                </c:pt>
                <c:pt idx="9">
                  <c:v>0.80303030303030298</c:v>
                </c:pt>
                <c:pt idx="10">
                  <c:v>0.83232323232323202</c:v>
                </c:pt>
                <c:pt idx="11">
                  <c:v>0.86161616161616195</c:v>
                </c:pt>
                <c:pt idx="12">
                  <c:v>0.89090909090909098</c:v>
                </c:pt>
                <c:pt idx="13">
                  <c:v>0.92020202020202002</c:v>
                </c:pt>
                <c:pt idx="14">
                  <c:v>0.94949494949494895</c:v>
                </c:pt>
                <c:pt idx="15">
                  <c:v>0.97878787878787898</c:v>
                </c:pt>
                <c:pt idx="16">
                  <c:v>1.0080808080807999</c:v>
                </c:pt>
                <c:pt idx="17">
                  <c:v>1.03737373737373</c:v>
                </c:pt>
                <c:pt idx="18">
                  <c:v>1.06666666666666</c:v>
                </c:pt>
                <c:pt idx="19">
                  <c:v>1.09595959595959</c:v>
                </c:pt>
                <c:pt idx="20">
                  <c:v>1.1252525252525201</c:v>
                </c:pt>
                <c:pt idx="21">
                  <c:v>1.1545454545454501</c:v>
                </c:pt>
                <c:pt idx="22">
                  <c:v>1.1838383838383799</c:v>
                </c:pt>
                <c:pt idx="23">
                  <c:v>1.21313131313131</c:v>
                </c:pt>
                <c:pt idx="24">
                  <c:v>1.24242424242424</c:v>
                </c:pt>
                <c:pt idx="25">
                  <c:v>1.27171717171717</c:v>
                </c:pt>
                <c:pt idx="26">
                  <c:v>1.3010101010101001</c:v>
                </c:pt>
                <c:pt idx="27">
                  <c:v>1.3303030303030301</c:v>
                </c:pt>
                <c:pt idx="28">
                  <c:v>1.3595959595959599</c:v>
                </c:pt>
                <c:pt idx="29">
                  <c:v>1.38888888888888</c:v>
                </c:pt>
                <c:pt idx="30">
                  <c:v>1.41818181818181</c:v>
                </c:pt>
                <c:pt idx="31">
                  <c:v>1.44747474747474</c:v>
                </c:pt>
                <c:pt idx="32">
                  <c:v>1.4767676767676701</c:v>
                </c:pt>
                <c:pt idx="33">
                  <c:v>1.5060606060606001</c:v>
                </c:pt>
                <c:pt idx="34">
                  <c:v>1.5353535353535299</c:v>
                </c:pt>
                <c:pt idx="35">
                  <c:v>1.56464646464646</c:v>
                </c:pt>
                <c:pt idx="36">
                  <c:v>1.59393939393939</c:v>
                </c:pt>
                <c:pt idx="37">
                  <c:v>1.62323232323232</c:v>
                </c:pt>
                <c:pt idx="38">
                  <c:v>1.6525252525252501</c:v>
                </c:pt>
                <c:pt idx="39">
                  <c:v>1.6818181818181801</c:v>
                </c:pt>
                <c:pt idx="40">
                  <c:v>1.7111111111111099</c:v>
                </c:pt>
                <c:pt idx="41">
                  <c:v>1.74040404040404</c:v>
                </c:pt>
                <c:pt idx="42">
                  <c:v>1.76969696969697</c:v>
                </c:pt>
                <c:pt idx="43">
                  <c:v>1.79898989898989</c:v>
                </c:pt>
                <c:pt idx="44">
                  <c:v>1.8282828282828201</c:v>
                </c:pt>
                <c:pt idx="45">
                  <c:v>1.8575757575757501</c:v>
                </c:pt>
                <c:pt idx="46">
                  <c:v>1.8868686868686799</c:v>
                </c:pt>
                <c:pt idx="47">
                  <c:v>1.91616161616161</c:v>
                </c:pt>
                <c:pt idx="48">
                  <c:v>1.94545454545454</c:v>
                </c:pt>
                <c:pt idx="49">
                  <c:v>1.97474747474747</c:v>
                </c:pt>
                <c:pt idx="50">
                  <c:v>2.0040404040404001</c:v>
                </c:pt>
                <c:pt idx="51">
                  <c:v>2.0333333333333301</c:v>
                </c:pt>
                <c:pt idx="52">
                  <c:v>2.0626262626262601</c:v>
                </c:pt>
                <c:pt idx="53">
                  <c:v>2.0919191919191902</c:v>
                </c:pt>
                <c:pt idx="54">
                  <c:v>2.1212121212121202</c:v>
                </c:pt>
                <c:pt idx="55">
                  <c:v>2.1505050505050498</c:v>
                </c:pt>
                <c:pt idx="56">
                  <c:v>2.1797979797979798</c:v>
                </c:pt>
                <c:pt idx="57">
                  <c:v>2.2090909090909001</c:v>
                </c:pt>
                <c:pt idx="58">
                  <c:v>2.2383838383838301</c:v>
                </c:pt>
                <c:pt idx="59">
                  <c:v>2.2676767676767602</c:v>
                </c:pt>
                <c:pt idx="60">
                  <c:v>2.2969696969696898</c:v>
                </c:pt>
                <c:pt idx="61">
                  <c:v>2.3262626262626198</c:v>
                </c:pt>
                <c:pt idx="62">
                  <c:v>2.3555555555555499</c:v>
                </c:pt>
                <c:pt idx="63">
                  <c:v>2.3848484848484799</c:v>
                </c:pt>
              </c:numCache>
            </c:numRef>
          </c:xVal>
          <c:yVal>
            <c:numRef>
              <c:f>'40000'!$AD$41:$AD$104</c:f>
              <c:numCache>
                <c:formatCode>General</c:formatCode>
                <c:ptCount val="64"/>
                <c:pt idx="0">
                  <c:v>16983573.570384432</c:v>
                </c:pt>
                <c:pt idx="1">
                  <c:v>16467534.8118771</c:v>
                </c:pt>
                <c:pt idx="2">
                  <c:v>16068333.940991577</c:v>
                </c:pt>
                <c:pt idx="3">
                  <c:v>15776708.740150964</c:v>
                </c:pt>
                <c:pt idx="4">
                  <c:v>15585390.877012076</c:v>
                </c:pt>
                <c:pt idx="5">
                  <c:v>15488680.111595232</c:v>
                </c:pt>
                <c:pt idx="6">
                  <c:v>15482123.147424445</c:v>
                </c:pt>
                <c:pt idx="7">
                  <c:v>15562268.303429741</c:v>
                </c:pt>
                <c:pt idx="8">
                  <c:v>15726475.913119579</c:v>
                </c:pt>
                <c:pt idx="9">
                  <c:v>15972770.221293017</c:v>
                </c:pt>
                <c:pt idx="10">
                  <c:v>16299722.554989774</c:v>
                </c:pt>
                <c:pt idx="11">
                  <c:v>16706358.325922931</c:v>
                </c:pt>
                <c:pt idx="12">
                  <c:v>17192082.379370492</c:v>
                </c:pt>
                <c:pt idx="13" formatCode="0.00E+00">
                  <c:v>18542658.698333301</c:v>
                </c:pt>
                <c:pt idx="14" formatCode="0.00E+00">
                  <c:v>17407241.3866666</c:v>
                </c:pt>
                <c:pt idx="15" formatCode="0.00E+00">
                  <c:v>16271824.074999999</c:v>
                </c:pt>
                <c:pt idx="16" formatCode="0.00E+00">
                  <c:v>15136406.7633333</c:v>
                </c:pt>
                <c:pt idx="17" formatCode="0.00E+00">
                  <c:v>14000989.451666599</c:v>
                </c:pt>
                <c:pt idx="18">
                  <c:v>17450577.617963564</c:v>
                </c:pt>
                <c:pt idx="19">
                  <c:v>18404546.663843483</c:v>
                </c:pt>
                <c:pt idx="20">
                  <c:v>19685818.028951146</c:v>
                </c:pt>
                <c:pt idx="21">
                  <c:v>21104283.123915445</c:v>
                </c:pt>
                <c:pt idx="22">
                  <c:v>22621219.558649123</c:v>
                </c:pt>
                <c:pt idx="23">
                  <c:v>24225190.643760633</c:v>
                </c:pt>
                <c:pt idx="24">
                  <c:v>25912670.341507763</c:v>
                </c:pt>
                <c:pt idx="25">
                  <c:v>27683061.473076105</c:v>
                </c:pt>
                <c:pt idx="26">
                  <c:v>29537028.105854634</c:v>
                </c:pt>
                <c:pt idx="27">
                  <c:v>33339276.581832521</c:v>
                </c:pt>
                <c:pt idx="28">
                  <c:v>35440029.325316653</c:v>
                </c:pt>
                <c:pt idx="29">
                  <c:v>37642684.780019857</c:v>
                </c:pt>
                <c:pt idx="30">
                  <c:v>39943052.341531031</c:v>
                </c:pt>
                <c:pt idx="31">
                  <c:v>42341172.904456273</c:v>
                </c:pt>
                <c:pt idx="32">
                  <c:v>44838141.339133039</c:v>
                </c:pt>
                <c:pt idx="33">
                  <c:v>47435457.116092846</c:v>
                </c:pt>
                <c:pt idx="34">
                  <c:v>50134810.047677636</c:v>
                </c:pt>
                <c:pt idx="35">
                  <c:v>52937990.753004715</c:v>
                </c:pt>
                <c:pt idx="36">
                  <c:v>55846847.404300481</c:v>
                </c:pt>
                <c:pt idx="37">
                  <c:v>58863262.682348035</c:v>
                </c:pt>
                <c:pt idx="38">
                  <c:v>61989140.610822946</c:v>
                </c:pt>
                <c:pt idx="39">
                  <c:v>65226398.63614434</c:v>
                </c:pt>
                <c:pt idx="40">
                  <c:v>68576962.673148185</c:v>
                </c:pt>
                <c:pt idx="41">
                  <c:v>72042763.911877468</c:v>
                </c:pt>
                <c:pt idx="42">
                  <c:v>75625736.711647764</c:v>
                </c:pt>
                <c:pt idx="43">
                  <c:v>79327817.187829092</c:v>
                </c:pt>
                <c:pt idx="44">
                  <c:v>83150942.251445159</c:v>
                </c:pt>
                <c:pt idx="45">
                  <c:v>87097048.951035693</c:v>
                </c:pt>
                <c:pt idx="46">
                  <c:v>91168074.019832835</c:v>
                </c:pt>
                <c:pt idx="47">
                  <c:v>95365953.564365774</c:v>
                </c:pt>
                <c:pt idx="48">
                  <c:v>99692622.851606891</c:v>
                </c:pt>
                <c:pt idx="49">
                  <c:v>104150016.16540691</c:v>
                </c:pt>
                <c:pt idx="50">
                  <c:v>108740066.71195395</c:v>
                </c:pt>
                <c:pt idx="51">
                  <c:v>113464706.5600986</c:v>
                </c:pt>
                <c:pt idx="52">
                  <c:v>118325866.60646394</c:v>
                </c:pt>
                <c:pt idx="53">
                  <c:v>123325476.55824353</c:v>
                </c:pt>
                <c:pt idx="54">
                  <c:v>128465464.92851178</c:v>
                </c:pt>
                <c:pt idx="55">
                  <c:v>133747759.04032047</c:v>
                </c:pt>
                <c:pt idx="56">
                  <c:v>139174285.03692392</c:v>
                </c:pt>
                <c:pt idx="57">
                  <c:v>144746967.8961331</c:v>
                </c:pt>
                <c:pt idx="58">
                  <c:v>150467731.44739032</c:v>
                </c:pt>
                <c:pt idx="59">
                  <c:v>156338498.39054909</c:v>
                </c:pt>
                <c:pt idx="60">
                  <c:v>162361190.3155444</c:v>
                </c:pt>
                <c:pt idx="61">
                  <c:v>168537727.72247303</c:v>
                </c:pt>
                <c:pt idx="62">
                  <c:v>174870030.04166818</c:v>
                </c:pt>
                <c:pt idx="63">
                  <c:v>181360015.6535072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25-4E73-8CB2-661940A7953F}"/>
            </c:ext>
          </c:extLst>
        </c:ser>
        <c:ser>
          <c:idx val="1"/>
          <c:order val="1"/>
          <c:tx>
            <c:strRef>
              <c:f>'40000'!$AE$25</c:f>
              <c:strCache>
                <c:ptCount val="1"/>
                <c:pt idx="0">
                  <c:v>Power Available (dry)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'40000'!$V$41:$V$104</c:f>
              <c:numCache>
                <c:formatCode>General</c:formatCode>
                <c:ptCount val="64"/>
                <c:pt idx="0">
                  <c:v>0.53939393939393898</c:v>
                </c:pt>
                <c:pt idx="1">
                  <c:v>0.56868686868686902</c:v>
                </c:pt>
                <c:pt idx="2">
                  <c:v>0.59797979797979794</c:v>
                </c:pt>
                <c:pt idx="3">
                  <c:v>0.62727272727272698</c:v>
                </c:pt>
                <c:pt idx="4">
                  <c:v>0.65656565656565702</c:v>
                </c:pt>
                <c:pt idx="5">
                  <c:v>0.68585858585858595</c:v>
                </c:pt>
                <c:pt idx="6">
                  <c:v>0.71515151515151498</c:v>
                </c:pt>
                <c:pt idx="7">
                  <c:v>0.74444444444444402</c:v>
                </c:pt>
                <c:pt idx="8">
                  <c:v>0.77373737373737395</c:v>
                </c:pt>
                <c:pt idx="9">
                  <c:v>0.80303030303030298</c:v>
                </c:pt>
                <c:pt idx="10">
                  <c:v>0.83232323232323202</c:v>
                </c:pt>
                <c:pt idx="11">
                  <c:v>0.86161616161616195</c:v>
                </c:pt>
                <c:pt idx="12">
                  <c:v>0.89090909090909098</c:v>
                </c:pt>
                <c:pt idx="13">
                  <c:v>0.92020202020202002</c:v>
                </c:pt>
                <c:pt idx="14">
                  <c:v>0.94949494949494895</c:v>
                </c:pt>
                <c:pt idx="15">
                  <c:v>0.97878787878787898</c:v>
                </c:pt>
                <c:pt idx="16">
                  <c:v>1.0080808080807999</c:v>
                </c:pt>
                <c:pt idx="17">
                  <c:v>1.03737373737373</c:v>
                </c:pt>
                <c:pt idx="18">
                  <c:v>1.06666666666666</c:v>
                </c:pt>
                <c:pt idx="19">
                  <c:v>1.09595959595959</c:v>
                </c:pt>
                <c:pt idx="20">
                  <c:v>1.1252525252525201</c:v>
                </c:pt>
                <c:pt idx="21">
                  <c:v>1.1545454545454501</c:v>
                </c:pt>
                <c:pt idx="22">
                  <c:v>1.1838383838383799</c:v>
                </c:pt>
                <c:pt idx="23">
                  <c:v>1.21313131313131</c:v>
                </c:pt>
                <c:pt idx="24">
                  <c:v>1.24242424242424</c:v>
                </c:pt>
                <c:pt idx="25">
                  <c:v>1.27171717171717</c:v>
                </c:pt>
                <c:pt idx="26">
                  <c:v>1.3010101010101001</c:v>
                </c:pt>
                <c:pt idx="27">
                  <c:v>1.3303030303030301</c:v>
                </c:pt>
                <c:pt idx="28">
                  <c:v>1.3595959595959599</c:v>
                </c:pt>
                <c:pt idx="29">
                  <c:v>1.38888888888888</c:v>
                </c:pt>
                <c:pt idx="30">
                  <c:v>1.41818181818181</c:v>
                </c:pt>
                <c:pt idx="31">
                  <c:v>1.44747474747474</c:v>
                </c:pt>
                <c:pt idx="32">
                  <c:v>1.4767676767676701</c:v>
                </c:pt>
                <c:pt idx="33">
                  <c:v>1.5060606060606001</c:v>
                </c:pt>
                <c:pt idx="34">
                  <c:v>1.5353535353535299</c:v>
                </c:pt>
                <c:pt idx="35">
                  <c:v>1.56464646464646</c:v>
                </c:pt>
                <c:pt idx="36">
                  <c:v>1.59393939393939</c:v>
                </c:pt>
                <c:pt idx="37">
                  <c:v>1.62323232323232</c:v>
                </c:pt>
                <c:pt idx="38">
                  <c:v>1.6525252525252501</c:v>
                </c:pt>
                <c:pt idx="39">
                  <c:v>1.6818181818181801</c:v>
                </c:pt>
                <c:pt idx="40">
                  <c:v>1.7111111111111099</c:v>
                </c:pt>
                <c:pt idx="41">
                  <c:v>1.74040404040404</c:v>
                </c:pt>
                <c:pt idx="42">
                  <c:v>1.76969696969697</c:v>
                </c:pt>
                <c:pt idx="43">
                  <c:v>1.79898989898989</c:v>
                </c:pt>
                <c:pt idx="44">
                  <c:v>1.8282828282828201</c:v>
                </c:pt>
                <c:pt idx="45">
                  <c:v>1.8575757575757501</c:v>
                </c:pt>
                <c:pt idx="46">
                  <c:v>1.8868686868686799</c:v>
                </c:pt>
                <c:pt idx="47">
                  <c:v>1.91616161616161</c:v>
                </c:pt>
                <c:pt idx="48">
                  <c:v>1.94545454545454</c:v>
                </c:pt>
                <c:pt idx="49">
                  <c:v>1.97474747474747</c:v>
                </c:pt>
                <c:pt idx="50">
                  <c:v>2.0040404040404001</c:v>
                </c:pt>
                <c:pt idx="51">
                  <c:v>2.0333333333333301</c:v>
                </c:pt>
                <c:pt idx="52">
                  <c:v>2.0626262626262601</c:v>
                </c:pt>
                <c:pt idx="53">
                  <c:v>2.0919191919191902</c:v>
                </c:pt>
                <c:pt idx="54">
                  <c:v>2.1212121212121202</c:v>
                </c:pt>
                <c:pt idx="55">
                  <c:v>2.1505050505050498</c:v>
                </c:pt>
                <c:pt idx="56">
                  <c:v>2.1797979797979798</c:v>
                </c:pt>
                <c:pt idx="57">
                  <c:v>2.2090909090909001</c:v>
                </c:pt>
                <c:pt idx="58">
                  <c:v>2.2383838383838301</c:v>
                </c:pt>
                <c:pt idx="59">
                  <c:v>2.2676767676767602</c:v>
                </c:pt>
                <c:pt idx="60">
                  <c:v>2.2969696969696898</c:v>
                </c:pt>
                <c:pt idx="61">
                  <c:v>2.3262626262626198</c:v>
                </c:pt>
                <c:pt idx="62">
                  <c:v>2.3555555555555499</c:v>
                </c:pt>
                <c:pt idx="63">
                  <c:v>2.3848484848484799</c:v>
                </c:pt>
              </c:numCache>
            </c:numRef>
          </c:xVal>
          <c:yVal>
            <c:numRef>
              <c:f>'40000'!$AE$41:$AE$104</c:f>
              <c:numCache>
                <c:formatCode>General</c:formatCode>
                <c:ptCount val="64"/>
                <c:pt idx="0">
                  <c:v>19219187.687006541</c:v>
                </c:pt>
                <c:pt idx="1">
                  <c:v>20347123.152949501</c:v>
                </c:pt>
                <c:pt idx="2">
                  <c:v>21489839.150329448</c:v>
                </c:pt>
                <c:pt idx="3">
                  <c:v>22647520.409613073</c:v>
                </c:pt>
                <c:pt idx="4">
                  <c:v>23820168.037779678</c:v>
                </c:pt>
                <c:pt idx="5">
                  <c:v>25007583.128670119</c:v>
                </c:pt>
                <c:pt idx="6">
                  <c:v>26209348.785610199</c:v>
                </c:pt>
                <c:pt idx="7">
                  <c:v>27424810.463365499</c:v>
                </c:pt>
                <c:pt idx="8">
                  <c:v>28653054.531635217</c:v>
                </c:pt>
                <c:pt idx="9">
                  <c:v>29892884.957317829</c:v>
                </c:pt>
                <c:pt idx="10">
                  <c:v>31142797.997684065</c:v>
                </c:pt>
                <c:pt idx="11">
                  <c:v>32400954.791367587</c:v>
                </c:pt>
                <c:pt idx="12">
                  <c:v>33665151.728735149</c:v>
                </c:pt>
                <c:pt idx="13">
                  <c:v>34932788.477721371</c:v>
                </c:pt>
                <c:pt idx="14">
                  <c:v>36200833.535607949</c:v>
                </c:pt>
                <c:pt idx="15">
                  <c:v>37465787.171496503</c:v>
                </c:pt>
                <c:pt idx="16">
                  <c:v>38723641.618361995</c:v>
                </c:pt>
                <c:pt idx="17">
                  <c:v>39969838.367586568</c:v>
                </c:pt>
                <c:pt idx="18">
                  <c:v>41199222.412745573</c:v>
                </c:pt>
                <c:pt idx="19">
                  <c:v>42405993.283181764</c:v>
                </c:pt>
                <c:pt idx="20">
                  <c:v>43583652.70150838</c:v>
                </c:pt>
                <c:pt idx="21">
                  <c:v>44724948.692679971</c:v>
                </c:pt>
                <c:pt idx="22">
                  <c:v>45821815.965622865</c:v>
                </c:pt>
                <c:pt idx="23">
                  <c:v>46865312.381643429</c:v>
                </c:pt>
                <c:pt idx="24">
                  <c:v>47845551.316925511</c:v>
                </c:pt>
                <c:pt idx="25">
                  <c:v>48751629.719388932</c:v>
                </c:pt>
                <c:pt idx="26">
                  <c:v>49571551.65300861</c:v>
                </c:pt>
                <c:pt idx="27">
                  <c:v>50292147.11538884</c:v>
                </c:pt>
                <c:pt idx="28">
                  <c:v>50898985.906948507</c:v>
                </c:pt>
                <c:pt idx="29">
                  <c:v>51376286.322499767</c:v>
                </c:pt>
                <c:pt idx="30">
                  <c:v>51706818.428297818</c:v>
                </c:pt>
                <c:pt idx="31">
                  <c:v>51871801.679794766</c:v>
                </c:pt>
                <c:pt idx="32">
                  <c:v>51850796.627360113</c:v>
                </c:pt>
                <c:pt idx="33">
                  <c:v>51621590.449114881</c:v>
                </c:pt>
                <c:pt idx="34">
                  <c:v>51160076.041782893</c:v>
                </c:pt>
                <c:pt idx="35">
                  <c:v>50440124.392081358</c:v>
                </c:pt>
                <c:pt idx="36">
                  <c:v>49433449.942654788</c:v>
                </c:pt>
                <c:pt idx="37">
                  <c:v>48109468.657903835</c:v>
                </c:pt>
                <c:pt idx="38">
                  <c:v>46435148.486271299</c:v>
                </c:pt>
                <c:pt idx="39">
                  <c:v>44374851.906620696</c:v>
                </c:pt>
                <c:pt idx="40">
                  <c:v>41890170.237281673</c:v>
                </c:pt>
                <c:pt idx="41">
                  <c:v>38939749.377134703</c:v>
                </c:pt>
                <c:pt idx="42">
                  <c:v>35479106.638773367</c:v>
                </c:pt>
                <c:pt idx="43">
                  <c:v>31460438.32430739</c:v>
                </c:pt>
                <c:pt idx="44">
                  <c:v>26832417.684748467</c:v>
                </c:pt>
                <c:pt idx="45">
                  <c:v>21539982.894201808</c:v>
                </c:pt>
                <c:pt idx="46">
                  <c:v>15524114.660148241</c:v>
                </c:pt>
                <c:pt idx="47">
                  <c:v>8721603.0811254401</c:v>
                </c:pt>
                <c:pt idx="48">
                  <c:v>1064803.3529231767</c:v>
                </c:pt>
                <c:pt idx="49">
                  <c:v>-7518620.0858864337</c:v>
                </c:pt>
                <c:pt idx="50">
                  <c:v>-17105961.388704062</c:v>
                </c:pt>
                <c:pt idx="51">
                  <c:v>-27779753.546145797</c:v>
                </c:pt>
                <c:pt idx="52">
                  <c:v>-39628061.482694253</c:v>
                </c:pt>
                <c:pt idx="53">
                  <c:v>-52744788.45653826</c:v>
                </c:pt>
                <c:pt idx="54">
                  <c:v>-67229996.225379288</c:v>
                </c:pt>
                <c:pt idx="55">
                  <c:v>-83190239.452118203</c:v>
                </c:pt>
                <c:pt idx="56">
                  <c:v>-100738914.83561847</c:v>
                </c:pt>
                <c:pt idx="57">
                  <c:v>-119996625.46314201</c:v>
                </c:pt>
                <c:pt idx="58">
                  <c:v>-141091560.89266914</c:v>
                </c:pt>
                <c:pt idx="59">
                  <c:v>-164159893.48486513</c:v>
                </c:pt>
                <c:pt idx="60">
                  <c:v>-189346191.51651487</c:v>
                </c:pt>
                <c:pt idx="61">
                  <c:v>-216803849.61901772</c:v>
                </c:pt>
                <c:pt idx="62">
                  <c:v>-246695537.09775594</c:v>
                </c:pt>
                <c:pt idx="63">
                  <c:v>-279193664.70039988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25-4E73-8CB2-661940A7953F}"/>
            </c:ext>
          </c:extLst>
        </c:ser>
        <c:ser>
          <c:idx val="2"/>
          <c:order val="2"/>
          <c:tx>
            <c:strRef>
              <c:f>'40000'!$AF$25</c:f>
              <c:strCache>
                <c:ptCount val="1"/>
                <c:pt idx="0">
                  <c:v>Power Available (wet)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'40000'!$V$41:$V$104</c:f>
              <c:numCache>
                <c:formatCode>General</c:formatCode>
                <c:ptCount val="64"/>
                <c:pt idx="0">
                  <c:v>0.53939393939393898</c:v>
                </c:pt>
                <c:pt idx="1">
                  <c:v>0.56868686868686902</c:v>
                </c:pt>
                <c:pt idx="2">
                  <c:v>0.59797979797979794</c:v>
                </c:pt>
                <c:pt idx="3">
                  <c:v>0.62727272727272698</c:v>
                </c:pt>
                <c:pt idx="4">
                  <c:v>0.65656565656565702</c:v>
                </c:pt>
                <c:pt idx="5">
                  <c:v>0.68585858585858595</c:v>
                </c:pt>
                <c:pt idx="6">
                  <c:v>0.71515151515151498</c:v>
                </c:pt>
                <c:pt idx="7">
                  <c:v>0.74444444444444402</c:v>
                </c:pt>
                <c:pt idx="8">
                  <c:v>0.77373737373737395</c:v>
                </c:pt>
                <c:pt idx="9">
                  <c:v>0.80303030303030298</c:v>
                </c:pt>
                <c:pt idx="10">
                  <c:v>0.83232323232323202</c:v>
                </c:pt>
                <c:pt idx="11">
                  <c:v>0.86161616161616195</c:v>
                </c:pt>
                <c:pt idx="12">
                  <c:v>0.89090909090909098</c:v>
                </c:pt>
                <c:pt idx="13">
                  <c:v>0.92020202020202002</c:v>
                </c:pt>
                <c:pt idx="14">
                  <c:v>0.94949494949494895</c:v>
                </c:pt>
                <c:pt idx="15">
                  <c:v>0.97878787878787898</c:v>
                </c:pt>
                <c:pt idx="16">
                  <c:v>1.0080808080807999</c:v>
                </c:pt>
                <c:pt idx="17">
                  <c:v>1.03737373737373</c:v>
                </c:pt>
                <c:pt idx="18">
                  <c:v>1.06666666666666</c:v>
                </c:pt>
                <c:pt idx="19">
                  <c:v>1.09595959595959</c:v>
                </c:pt>
                <c:pt idx="20">
                  <c:v>1.1252525252525201</c:v>
                </c:pt>
                <c:pt idx="21">
                  <c:v>1.1545454545454501</c:v>
                </c:pt>
                <c:pt idx="22">
                  <c:v>1.1838383838383799</c:v>
                </c:pt>
                <c:pt idx="23">
                  <c:v>1.21313131313131</c:v>
                </c:pt>
                <c:pt idx="24">
                  <c:v>1.24242424242424</c:v>
                </c:pt>
                <c:pt idx="25">
                  <c:v>1.27171717171717</c:v>
                </c:pt>
                <c:pt idx="26">
                  <c:v>1.3010101010101001</c:v>
                </c:pt>
                <c:pt idx="27">
                  <c:v>1.3303030303030301</c:v>
                </c:pt>
                <c:pt idx="28">
                  <c:v>1.3595959595959599</c:v>
                </c:pt>
                <c:pt idx="29">
                  <c:v>1.38888888888888</c:v>
                </c:pt>
                <c:pt idx="30">
                  <c:v>1.41818181818181</c:v>
                </c:pt>
                <c:pt idx="31">
                  <c:v>1.44747474747474</c:v>
                </c:pt>
                <c:pt idx="32">
                  <c:v>1.4767676767676701</c:v>
                </c:pt>
                <c:pt idx="33">
                  <c:v>1.5060606060606001</c:v>
                </c:pt>
                <c:pt idx="34">
                  <c:v>1.5353535353535299</c:v>
                </c:pt>
                <c:pt idx="35">
                  <c:v>1.56464646464646</c:v>
                </c:pt>
                <c:pt idx="36">
                  <c:v>1.59393939393939</c:v>
                </c:pt>
                <c:pt idx="37">
                  <c:v>1.62323232323232</c:v>
                </c:pt>
                <c:pt idx="38">
                  <c:v>1.6525252525252501</c:v>
                </c:pt>
                <c:pt idx="39">
                  <c:v>1.6818181818181801</c:v>
                </c:pt>
                <c:pt idx="40">
                  <c:v>1.7111111111111099</c:v>
                </c:pt>
                <c:pt idx="41">
                  <c:v>1.74040404040404</c:v>
                </c:pt>
                <c:pt idx="42">
                  <c:v>1.76969696969697</c:v>
                </c:pt>
                <c:pt idx="43">
                  <c:v>1.79898989898989</c:v>
                </c:pt>
                <c:pt idx="44">
                  <c:v>1.8282828282828201</c:v>
                </c:pt>
                <c:pt idx="45">
                  <c:v>1.8575757575757501</c:v>
                </c:pt>
                <c:pt idx="46">
                  <c:v>1.8868686868686799</c:v>
                </c:pt>
                <c:pt idx="47">
                  <c:v>1.91616161616161</c:v>
                </c:pt>
                <c:pt idx="48">
                  <c:v>1.94545454545454</c:v>
                </c:pt>
                <c:pt idx="49">
                  <c:v>1.97474747474747</c:v>
                </c:pt>
                <c:pt idx="50">
                  <c:v>2.0040404040404001</c:v>
                </c:pt>
                <c:pt idx="51">
                  <c:v>2.0333333333333301</c:v>
                </c:pt>
                <c:pt idx="52">
                  <c:v>2.0626262626262601</c:v>
                </c:pt>
                <c:pt idx="53">
                  <c:v>2.0919191919191902</c:v>
                </c:pt>
                <c:pt idx="54">
                  <c:v>2.1212121212121202</c:v>
                </c:pt>
                <c:pt idx="55">
                  <c:v>2.1505050505050498</c:v>
                </c:pt>
                <c:pt idx="56">
                  <c:v>2.1797979797979798</c:v>
                </c:pt>
                <c:pt idx="57">
                  <c:v>2.2090909090909001</c:v>
                </c:pt>
                <c:pt idx="58">
                  <c:v>2.2383838383838301</c:v>
                </c:pt>
                <c:pt idx="59">
                  <c:v>2.2676767676767602</c:v>
                </c:pt>
                <c:pt idx="60">
                  <c:v>2.2969696969696898</c:v>
                </c:pt>
                <c:pt idx="61">
                  <c:v>2.3262626262626198</c:v>
                </c:pt>
                <c:pt idx="62">
                  <c:v>2.3555555555555499</c:v>
                </c:pt>
                <c:pt idx="63">
                  <c:v>2.3848484848484799</c:v>
                </c:pt>
              </c:numCache>
            </c:numRef>
          </c:xVal>
          <c:yVal>
            <c:numRef>
              <c:f>'40000'!$AF$41:$AF$104</c:f>
              <c:numCache>
                <c:formatCode>General</c:formatCode>
                <c:ptCount val="64"/>
                <c:pt idx="0">
                  <c:v>26704403.273880873</c:v>
                </c:pt>
                <c:pt idx="1">
                  <c:v>28400784.932049569</c:v>
                </c:pt>
                <c:pt idx="2">
                  <c:v>30136866.241257865</c:v>
                </c:pt>
                <c:pt idx="3">
                  <c:v>31914378.318012532</c:v>
                </c:pt>
                <c:pt idx="4">
                  <c:v>33734954.909739859</c:v>
                </c:pt>
                <c:pt idx="5">
                  <c:v>35600121.392963916</c:v>
                </c:pt>
                <c:pt idx="6">
                  <c:v>37511282.533224739</c:v>
                </c:pt>
                <c:pt idx="7">
                  <c:v>39469708.95096498</c:v>
                </c:pt>
                <c:pt idx="8">
                  <c:v>41476522.231843695</c:v>
                </c:pt>
                <c:pt idx="9">
                  <c:v>43532678.61487525</c:v>
                </c:pt>
                <c:pt idx="10">
                  <c:v>45638951.187242404</c:v>
                </c:pt>
                <c:pt idx="11">
                  <c:v>47795910.510439336</c:v>
                </c:pt>
                <c:pt idx="12">
                  <c:v>50003903.598473452</c:v>
                </c:pt>
                <c:pt idx="13">
                  <c:v>52263031.16511175</c:v>
                </c:pt>
                <c:pt idx="14">
                  <c:v>54573123.053548247</c:v>
                </c:pt>
                <c:pt idx="15">
                  <c:v>56933711.758358628</c:v>
                </c:pt>
                <c:pt idx="16">
                  <c:v>59344003.946162991</c:v>
                </c:pt>
                <c:pt idx="17">
                  <c:v>61802849.878026478</c:v>
                </c:pt>
                <c:pt idx="18">
                  <c:v>64308710.633246832</c:v>
                </c:pt>
                <c:pt idx="19">
                  <c:v>66859623.030860282</c:v>
                </c:pt>
                <c:pt idx="20">
                  <c:v>69453162.141838014</c:v>
                </c:pt>
                <c:pt idx="21">
                  <c:v>72086401.28163591</c:v>
                </c:pt>
                <c:pt idx="22">
                  <c:v>74755869.369428352</c:v>
                </c:pt>
                <c:pt idx="23">
                  <c:v>77457505.537029758</c:v>
                </c:pt>
                <c:pt idx="24">
                  <c:v>80186610.867175803</c:v>
                </c:pt>
                <c:pt idx="25">
                  <c:v>82937797.137495935</c:v>
                </c:pt>
                <c:pt idx="26">
                  <c:v>85704932.44316186</c:v>
                </c:pt>
                <c:pt idx="27">
                  <c:v>88481083.567840546</c:v>
                </c:pt>
                <c:pt idx="28">
                  <c:v>91258454.969215423</c:v>
                </c:pt>
                <c:pt idx="29">
                  <c:v>94028324.241962954</c:v>
                </c:pt>
                <c:pt idx="30">
                  <c:v>96780973.917694539</c:v>
                </c:pt>
                <c:pt idx="31">
                  <c:v>99505619.457958862</c:v>
                </c:pt>
                <c:pt idx="32">
                  <c:v>102190333.29302914</c:v>
                </c:pt>
                <c:pt idx="33">
                  <c:v>104821964.75575335</c:v>
                </c:pt>
                <c:pt idx="34">
                  <c:v>107386055.75634094</c:v>
                </c:pt>
                <c:pt idx="35">
                  <c:v>109866752.04052351</c:v>
                </c:pt>
                <c:pt idx="36">
                  <c:v>112246709.87008287</c:v>
                </c:pt>
                <c:pt idx="37">
                  <c:v>114506997.96129371</c:v>
                </c:pt>
                <c:pt idx="38">
                  <c:v>116626994.51336697</c:v>
                </c:pt>
                <c:pt idx="39">
                  <c:v>118584279.15551418</c:v>
                </c:pt>
                <c:pt idx="40">
                  <c:v>120354519.63777894</c:v>
                </c:pt>
                <c:pt idx="41">
                  <c:v>121911353.08729583</c:v>
                </c:pt>
                <c:pt idx="42">
                  <c:v>123226261.64815021</c:v>
                </c:pt>
                <c:pt idx="43">
                  <c:v>124268442.31951211</c:v>
                </c:pt>
                <c:pt idx="44">
                  <c:v>125004670.8032116</c:v>
                </c:pt>
                <c:pt idx="45">
                  <c:v>125399159.1684082</c:v>
                </c:pt>
                <c:pt idx="46">
                  <c:v>125413407.1374936</c:v>
                </c:pt>
                <c:pt idx="47">
                  <c:v>125006046.79383181</c:v>
                </c:pt>
                <c:pt idx="48">
                  <c:v>124132680.50841038</c:v>
                </c:pt>
                <c:pt idx="49">
                  <c:v>122745711.87893608</c:v>
                </c:pt>
                <c:pt idx="50">
                  <c:v>120794169.47135918</c:v>
                </c:pt>
                <c:pt idx="51">
                  <c:v>118223523.15025714</c:v>
                </c:pt>
                <c:pt idx="52">
                  <c:v>114975492.78094676</c:v>
                </c:pt>
                <c:pt idx="53">
                  <c:v>110987849.08262809</c:v>
                </c:pt>
                <c:pt idx="54">
                  <c:v>106194206.40828389</c:v>
                </c:pt>
                <c:pt idx="55">
                  <c:v>100523807.22348972</c:v>
                </c:pt>
                <c:pt idx="56">
                  <c:v>93901298.052686989</c:v>
                </c:pt>
                <c:pt idx="57">
                  <c:v>86246496.657894805</c:v>
                </c:pt>
                <c:pt idx="58">
                  <c:v>77474150.211210817</c:v>
                </c:pt>
                <c:pt idx="59">
                  <c:v>67493684.218901306</c:v>
                </c:pt>
                <c:pt idx="60">
                  <c:v>56208941.951181956</c:v>
                </c:pt>
                <c:pt idx="61">
                  <c:v>43517914.128254332</c:v>
                </c:pt>
                <c:pt idx="62">
                  <c:v>29312458.609497137</c:v>
                </c:pt>
                <c:pt idx="63">
                  <c:v>13478009.829079866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25-4E73-8CB2-661940A79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604144"/>
        <c:axId val="1576602224"/>
      </c:scatterChart>
      <c:valAx>
        <c:axId val="157660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02224"/>
        <c:crosses val="autoZero"/>
        <c:crossBetween val="midCat"/>
      </c:valAx>
      <c:valAx>
        <c:axId val="15766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(lbf*ft/sec)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0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Specific Excess Power (wet, dry) vs Mach @ 35k 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'40000'!$AI$25</c:f>
              <c:strCache>
                <c:ptCount val="1"/>
                <c:pt idx="0">
                  <c:v>Dry (ft/s)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'40000'!$AI$26:$AI$125</c:f>
              <c:numCache>
                <c:formatCode>General</c:formatCode>
                <c:ptCount val="100"/>
                <c:pt idx="0">
                  <c:v>-3767.2817452416048</c:v>
                </c:pt>
                <c:pt idx="1">
                  <c:v>-2858.7068279435598</c:v>
                </c:pt>
                <c:pt idx="2">
                  <c:v>-2274.9559532809303</c:v>
                </c:pt>
                <c:pt idx="3">
                  <c:v>-1864.3036828325771</c:v>
                </c:pt>
                <c:pt idx="4">
                  <c:v>-1556.8822733535055</c:v>
                </c:pt>
                <c:pt idx="5">
                  <c:v>-1316.037358143861</c:v>
                </c:pt>
                <c:pt idx="6">
                  <c:v>-1120.6874923680996</c:v>
                </c:pt>
                <c:pt idx="7">
                  <c:v>-957.84722676783429</c:v>
                </c:pt>
                <c:pt idx="8">
                  <c:v>-819.08049708180215</c:v>
                </c:pt>
                <c:pt idx="9">
                  <c:v>-698.66807535266253</c:v>
                </c:pt>
                <c:pt idx="10">
                  <c:v>-367.80951118637012</c:v>
                </c:pt>
                <c:pt idx="11">
                  <c:v>-257.50738070649589</c:v>
                </c:pt>
                <c:pt idx="12">
                  <c:v>-156.80932098054134</c:v>
                </c:pt>
                <c:pt idx="13">
                  <c:v>-64.13822829843393</c:v>
                </c:pt>
                <c:pt idx="14">
                  <c:v>21.704680857690967</c:v>
                </c:pt>
                <c:pt idx="15">
                  <c:v>101.64064388105251</c:v>
                </c:pt>
                <c:pt idx="16">
                  <c:v>176.38279077241893</c:v>
                </c:pt>
                <c:pt idx="17">
                  <c:v>246.48497081159172</c:v>
                </c:pt>
                <c:pt idx="18">
                  <c:v>312.37668293343665</c:v>
                </c:pt>
                <c:pt idx="19">
                  <c:v>374.38842715041068</c:v>
                </c:pt>
                <c:pt idx="20">
                  <c:v>432.77031778571768</c:v>
                </c:pt>
                <c:pt idx="21">
                  <c:v>487.70586695433548</c:v>
                </c:pt>
                <c:pt idx="22">
                  <c:v>539.32224449529599</c:v>
                </c:pt>
                <c:pt idx="23">
                  <c:v>587.69792344582186</c:v>
                </c:pt>
                <c:pt idx="24">
                  <c:v>632.86835332989051</c:v>
                </c:pt>
                <c:pt idx="25">
                  <c:v>674.83012115256804</c:v>
                </c:pt>
                <c:pt idx="26">
                  <c:v>713.54393333826408</c:v>
                </c:pt>
                <c:pt idx="27">
                  <c:v>748.93666260100588</c:v>
                </c:pt>
                <c:pt idx="28">
                  <c:v>734.04082279778879</c:v>
                </c:pt>
                <c:pt idx="29">
                  <c:v>836.63773427732201</c:v>
                </c:pt>
                <c:pt idx="30">
                  <c:v>943.54507445509239</c:v>
                </c:pt>
                <c:pt idx="31">
                  <c:v>1054.5806329854436</c:v>
                </c:pt>
                <c:pt idx="32">
                  <c:v>1169.5371604385109</c:v>
                </c:pt>
                <c:pt idx="33">
                  <c:v>1079.7156496270543</c:v>
                </c:pt>
                <c:pt idx="34">
                  <c:v>1091.209109089114</c:v>
                </c:pt>
                <c:pt idx="35">
                  <c:v>1086.4984638546373</c:v>
                </c:pt>
                <c:pt idx="36">
                  <c:v>1073.8971629575083</c:v>
                </c:pt>
                <c:pt idx="37">
                  <c:v>1054.7990101226617</c:v>
                </c:pt>
                <c:pt idx="38">
                  <c:v>1029.3174183658973</c:v>
                </c:pt>
                <c:pt idx="39">
                  <c:v>997.16320805679095</c:v>
                </c:pt>
                <c:pt idx="40">
                  <c:v>957.86782982150362</c:v>
                </c:pt>
                <c:pt idx="41">
                  <c:v>910.85570539320668</c:v>
                </c:pt>
                <c:pt idx="42">
                  <c:v>770.750490369197</c:v>
                </c:pt>
                <c:pt idx="43">
                  <c:v>702.83072959853428</c:v>
                </c:pt>
                <c:pt idx="44">
                  <c:v>624.388660460148</c:v>
                </c:pt>
                <c:pt idx="45">
                  <c:v>534.83145889759817</c:v>
                </c:pt>
                <c:pt idx="46">
                  <c:v>433.30342124531961</c:v>
                </c:pt>
                <c:pt idx="47">
                  <c:v>318.82550459478517</c:v>
                </c:pt>
                <c:pt idx="48">
                  <c:v>190.31964603228437</c:v>
                </c:pt>
                <c:pt idx="49">
                  <c:v>46.613006697085751</c:v>
                </c:pt>
                <c:pt idx="50">
                  <c:v>-113.56376011647193</c:v>
                </c:pt>
                <c:pt idx="51">
                  <c:v>-291.58066350542879</c:v>
                </c:pt>
                <c:pt idx="52">
                  <c:v>-488.91378019218428</c:v>
                </c:pt>
                <c:pt idx="53">
                  <c:v>-707.15145458507504</c:v>
                </c:pt>
                <c:pt idx="54">
                  <c:v>-948.00109721389924</c:v>
                </c:pt>
                <c:pt idx="55">
                  <c:v>-1213.2964925091196</c:v>
                </c:pt>
                <c:pt idx="56">
                  <c:v>-1505.0055761854135</c:v>
                </c:pt>
                <c:pt idx="57">
                  <c:v>-1825.2386670499491</c:v>
                </c:pt>
                <c:pt idx="58">
                  <c:v>-2176.2571511839433</c:v>
                </c:pt>
                <c:pt idx="59">
                  <c:v>-2560.4826239149752</c:v>
                </c:pt>
                <c:pt idx="60">
                  <c:v>-2980.5064995014109</c:v>
                </c:pt>
                <c:pt idx="61">
                  <c:v>-3439.100101339237</c:v>
                </c:pt>
                <c:pt idx="62">
                  <c:v>-3939.2252474583679</c:v>
                </c:pt>
                <c:pt idx="63">
                  <c:v>-4484.045347493633</c:v>
                </c:pt>
                <c:pt idx="64">
                  <c:v>-5076.9370284035685</c:v>
                </c:pt>
                <c:pt idx="65">
                  <c:v>-5721.5023070933821</c:v>
                </c:pt>
                <c:pt idx="66">
                  <c:v>-6421.5813288573008</c:v>
                </c:pt>
                <c:pt idx="67">
                  <c:v>-7181.2656912280863</c:v>
                </c:pt>
                <c:pt idx="68">
                  <c:v>-8004.9123734509812</c:v>
                </c:pt>
                <c:pt idx="69">
                  <c:v>-8897.1582923866372</c:v>
                </c:pt>
                <c:pt idx="70">
                  <c:v>-9862.9355062197537</c:v>
                </c:pt>
                <c:pt idx="71">
                  <c:v>-10907.487087911753</c:v>
                </c:pt>
                <c:pt idx="72">
                  <c:v>-12036.383690883962</c:v>
                </c:pt>
                <c:pt idx="73">
                  <c:v>-13255.540829972702</c:v>
                </c:pt>
                <c:pt idx="74">
                  <c:v>-14571.236901240856</c:v>
                </c:pt>
                <c:pt idx="75">
                  <c:v>-15990.131964787684</c:v>
                </c:pt>
                <c:pt idx="76">
                  <c:v>-17519.287315249123</c:v>
                </c:pt>
                <c:pt idx="77">
                  <c:v>-19166.185865239346</c:v>
                </c:pt>
                <c:pt idx="78">
                  <c:v>-20938.753367548277</c:v>
                </c:pt>
                <c:pt idx="79">
                  <c:v>-22845.380502472352</c:v>
                </c:pt>
                <c:pt idx="80">
                  <c:v>-24894.945857238818</c:v>
                </c:pt>
                <c:pt idx="81">
                  <c:v>-27096.839825050345</c:v>
                </c:pt>
                <c:pt idx="82">
                  <c:v>-29460.98945186878</c:v>
                </c:pt>
                <c:pt idx="83">
                  <c:v>-31997.884259646726</c:v>
                </c:pt>
                <c:pt idx="84">
                  <c:v>-34718.603075306935</c:v>
                </c:pt>
                <c:pt idx="85">
                  <c:v>-37634.841895377882</c:v>
                </c:pt>
                <c:pt idx="86">
                  <c:v>-40758.942816802992</c:v>
                </c:pt>
                <c:pt idx="87">
                  <c:v>-44103.924065051615</c:v>
                </c:pt>
                <c:pt idx="88">
                  <c:v>-47683.511151275212</c:v>
                </c:pt>
                <c:pt idx="89">
                  <c:v>-51512.169190903391</c:v>
                </c:pt>
                <c:pt idx="90">
                  <c:v>-55605.136416683978</c:v>
                </c:pt>
                <c:pt idx="91">
                  <c:v>-59978.458919821198</c:v>
                </c:pt>
                <c:pt idx="92">
                  <c:v>-64649.026653511813</c:v>
                </c:pt>
                <c:pt idx="93">
                  <c:v>-69634.6107338414</c:v>
                </c:pt>
                <c:pt idx="94">
                  <c:v>-74953.902073641802</c:v>
                </c:pt>
                <c:pt idx="95">
                  <c:v>-80626.551385603903</c:v>
                </c:pt>
                <c:pt idx="96">
                  <c:v>-86673.210591583469</c:v>
                </c:pt>
                <c:pt idx="97">
                  <c:v>-93115.575675743676</c:v>
                </c:pt>
                <c:pt idx="98">
                  <c:v>-99976.431019844662</c:v>
                </c:pt>
                <c:pt idx="99">
                  <c:v>-107279.69525969132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D-412E-A059-7495BFFAD9FD}"/>
            </c:ext>
          </c:extLst>
        </c:ser>
        <c:ser>
          <c:idx val="1"/>
          <c:order val="1"/>
          <c:tx>
            <c:strRef>
              <c:f>'40000'!$AJ$25</c:f>
              <c:strCache>
                <c:ptCount val="1"/>
                <c:pt idx="0">
                  <c:v>Wet (ft/s)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'40000'!$AJ$26:$AJ$125</c:f>
              <c:numCache>
                <c:formatCode>General</c:formatCode>
                <c:ptCount val="100"/>
                <c:pt idx="0">
                  <c:v>-3748.3926764533066</c:v>
                </c:pt>
                <c:pt idx="1">
                  <c:v>-2833.673390955998</c:v>
                </c:pt>
                <c:pt idx="2">
                  <c:v>-2243.3636692979953</c:v>
                </c:pt>
                <c:pt idx="3">
                  <c:v>-1825.6862496485785</c:v>
                </c:pt>
                <c:pt idx="4">
                  <c:v>-1510.7235048398395</c:v>
                </c:pt>
                <c:pt idx="5">
                  <c:v>-1261.770940781691</c:v>
                </c:pt>
                <c:pt idx="6">
                  <c:v>-1057.695391546097</c:v>
                </c:pt>
                <c:pt idx="7">
                  <c:v>-885.45714921811327</c:v>
                </c:pt>
                <c:pt idx="8">
                  <c:v>-736.56262311926309</c:v>
                </c:pt>
                <c:pt idx="9">
                  <c:v>-605.23117706200514</c:v>
                </c:pt>
                <c:pt idx="10">
                  <c:v>-141.93981402933383</c:v>
                </c:pt>
                <c:pt idx="11">
                  <c:v>-10.525451864630849</c:v>
                </c:pt>
                <c:pt idx="12">
                  <c:v>112.11736163289471</c:v>
                </c:pt>
                <c:pt idx="13">
                  <c:v>227.61968367941677</c:v>
                </c:pt>
                <c:pt idx="14">
                  <c:v>337.23711561733376</c:v>
                </c:pt>
                <c:pt idx="15">
                  <c:v>441.95077440927167</c:v>
                </c:pt>
                <c:pt idx="16">
                  <c:v>542.53693282300856</c:v>
                </c:pt>
                <c:pt idx="17">
                  <c:v>639.61605485879033</c:v>
                </c:pt>
                <c:pt idx="18">
                  <c:v>733.68794481931604</c:v>
                </c:pt>
                <c:pt idx="19">
                  <c:v>825.15732958160925</c:v>
                </c:pt>
                <c:pt idx="20">
                  <c:v>914.35271678409379</c:v>
                </c:pt>
                <c:pt idx="21">
                  <c:v>1001.5404391497453</c:v>
                </c:pt>
                <c:pt idx="22">
                  <c:v>1086.9351928386827</c:v>
                </c:pt>
                <c:pt idx="23">
                  <c:v>1170.7079805689248</c:v>
                </c:pt>
                <c:pt idx="24">
                  <c:v>1252.9921034221227</c:v>
                </c:pt>
                <c:pt idx="25">
                  <c:v>1333.8876628947494</c:v>
                </c:pt>
                <c:pt idx="26">
                  <c:v>1413.4649081489815</c:v>
                </c:pt>
                <c:pt idx="27">
                  <c:v>1491.7666742320619</c:v>
                </c:pt>
                <c:pt idx="28">
                  <c:v>1521.9482761747288</c:v>
                </c:pt>
                <c:pt idx="29">
                  <c:v>1671.9211234312891</c:v>
                </c:pt>
                <c:pt idx="30">
                  <c:v>1828.6407514434809</c:v>
                </c:pt>
                <c:pt idx="31">
                  <c:v>1992.0710918599102</c:v>
                </c:pt>
                <c:pt idx="32">
                  <c:v>2162.1598725980311</c:v>
                </c:pt>
                <c:pt idx="33">
                  <c:v>2130.3724892977375</c:v>
                </c:pt>
                <c:pt idx="34">
                  <c:v>2202.9764102091922</c:v>
                </c:pt>
                <c:pt idx="35">
                  <c:v>2262.6377523177757</c:v>
                </c:pt>
                <c:pt idx="36">
                  <c:v>2317.8666109874625</c:v>
                </c:pt>
                <c:pt idx="37">
                  <c:v>2370.2656625228788</c:v>
                </c:pt>
                <c:pt idx="38">
                  <c:v>2420.1702435149659</c:v>
                </c:pt>
                <c:pt idx="39">
                  <c:v>2467.5270298104465</c:v>
                </c:pt>
                <c:pt idx="40">
                  <c:v>2512.118199939915</c:v>
                </c:pt>
                <c:pt idx="41">
                  <c:v>2553.6347797441799</c:v>
                </c:pt>
                <c:pt idx="42">
                  <c:v>2506.9839759693882</c:v>
                </c:pt>
                <c:pt idx="43">
                  <c:v>2537.7459735514476</c:v>
                </c:pt>
                <c:pt idx="44">
                  <c:v>2563.5339560371581</c:v>
                </c:pt>
                <c:pt idx="45">
                  <c:v>2584.096648392449</c:v>
                </c:pt>
                <c:pt idx="46">
                  <c:v>2598.941879818226</c:v>
                </c:pt>
                <c:pt idx="47">
                  <c:v>2607.477594116961</c:v>
                </c:pt>
                <c:pt idx="48">
                  <c:v>2609.0377329487833</c:v>
                </c:pt>
                <c:pt idx="49">
                  <c:v>2602.888143152883</c:v>
                </c:pt>
                <c:pt idx="50">
                  <c:v>2588.2266128095948</c:v>
                </c:pt>
                <c:pt idx="51">
                  <c:v>2564.180595033306</c:v>
                </c:pt>
                <c:pt idx="52">
                  <c:v>2529.8037973763949</c:v>
                </c:pt>
                <c:pt idx="53">
                  <c:v>2484.0720988666808</c:v>
                </c:pt>
                <c:pt idx="54">
                  <c:v>2425.8789975397831</c:v>
                </c:pt>
                <c:pt idx="55">
                  <c:v>2354.0306841614574</c:v>
                </c:pt>
                <c:pt idx="56">
                  <c:v>2267.2407888029038</c:v>
                </c:pt>
                <c:pt idx="57">
                  <c:v>2164.1248226381713</c:v>
                </c:pt>
                <c:pt idx="58">
                  <c:v>2043.1943244762513</c:v>
                </c:pt>
                <c:pt idx="59">
                  <c:v>1902.8507143495599</c:v>
                </c:pt>
                <c:pt idx="60">
                  <c:v>1741.3788522587149</c:v>
                </c:pt>
                <c:pt idx="61">
                  <c:v>1556.940297576647</c:v>
                </c:pt>
                <c:pt idx="62">
                  <c:v>1347.5662629511796</c:v>
                </c:pt>
                <c:pt idx="63">
                  <c:v>1111.1502554299952</c:v>
                </c:pt>
                <c:pt idx="64">
                  <c:v>845.44039675104659</c:v>
                </c:pt>
                <c:pt idx="65">
                  <c:v>548.03141417156155</c:v>
                </c:pt>
                <c:pt idx="66">
                  <c:v>216.35629276951352</c:v>
                </c:pt>
                <c:pt idx="67">
                  <c:v>-152.32242019580801</c:v>
                </c:pt>
                <c:pt idx="68">
                  <c:v>-560.92166857527798</c:v>
                </c:pt>
                <c:pt idx="69">
                  <c:v>-1012.547308234758</c:v>
                </c:pt>
                <c:pt idx="70">
                  <c:v>-1510.5039057626209</c:v>
                </c:pt>
                <c:pt idx="71">
                  <c:v>-2058.3049253817958</c:v>
                </c:pt>
                <c:pt idx="72">
                  <c:v>-2659.6833146606123</c:v>
                </c:pt>
                <c:pt idx="73">
                  <c:v>-3318.6024998084586</c:v>
                </c:pt>
                <c:pt idx="74">
                  <c:v>-4039.2678015215633</c:v>
                </c:pt>
                <c:pt idx="75">
                  <c:v>-4826.1382825214014</c:v>
                </c:pt>
                <c:pt idx="76">
                  <c:v>-5683.9390381043486</c:v>
                </c:pt>
                <c:pt idx="77">
                  <c:v>-6617.6739411906956</c:v>
                </c:pt>
                <c:pt idx="78">
                  <c:v>-7632.6388535332999</c:v>
                </c:pt>
                <c:pt idx="79">
                  <c:v>-8734.435314911103</c:v>
                </c:pt>
                <c:pt idx="80">
                  <c:v>-9928.9847223103952</c:v>
                </c:pt>
                <c:pt idx="81">
                  <c:v>-11222.543011253896</c:v>
                </c:pt>
                <c:pt idx="82">
                  <c:v>-12621.715851611558</c:v>
                </c:pt>
                <c:pt idx="83">
                  <c:v>-14133.47437039603</c:v>
                </c:pt>
                <c:pt idx="84">
                  <c:v>-15765.171414206141</c:v>
                </c:pt>
                <c:pt idx="85">
                  <c:v>-17524.558364157027</c:v>
                </c:pt>
                <c:pt idx="86">
                  <c:v>-19419.80251630241</c:v>
                </c:pt>
                <c:pt idx="87">
                  <c:v>-21459.505040715914</c:v>
                </c:pt>
                <c:pt idx="88">
                  <c:v>-23652.719532568968</c:v>
                </c:pt>
                <c:pt idx="89">
                  <c:v>-26008.971168719167</c:v>
                </c:pt>
                <c:pt idx="90">
                  <c:v>-28538.276483482696</c:v>
                </c:pt>
                <c:pt idx="91">
                  <c:v>-31251.163777432394</c:v>
                </c:pt>
                <c:pt idx="92">
                  <c:v>-34158.694173234973</c:v>
                </c:pt>
                <c:pt idx="93">
                  <c:v>-37272.48333271798</c:v>
                </c:pt>
                <c:pt idx="94">
                  <c:v>-40604.723849505659</c:v>
                </c:pt>
                <c:pt idx="95">
                  <c:v>-44168.208331760747</c:v>
                </c:pt>
                <c:pt idx="96">
                  <c:v>-47976.353189708185</c:v>
                </c:pt>
                <c:pt idx="97">
                  <c:v>-52043.223142816532</c:v>
                </c:pt>
                <c:pt idx="98">
                  <c:v>-56383.556461661872</c:v>
                </c:pt>
                <c:pt idx="99">
                  <c:v>-61012.790959681814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AD-412E-A059-7495BFFAD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065464"/>
        <c:axId val="1172923312"/>
      </c:scatterChart>
      <c:valAx>
        <c:axId val="100606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23312"/>
        <c:crosses val="autoZero"/>
        <c:crossBetween val="midCat"/>
      </c:valAx>
      <c:valAx>
        <c:axId val="11729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P_s (ft/s)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65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Sink rate (ft/s) vs Mach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'40000'!$AP$25</c:f>
              <c:strCache>
                <c:ptCount val="1"/>
                <c:pt idx="0">
                  <c:v>Sink rate (ft/s)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'40000'!$AP$26:$AP$125</c:f>
              <c:numCache>
                <c:formatCode>General</c:formatCode>
                <c:ptCount val="100"/>
                <c:pt idx="0">
                  <c:v>95.525002850923968</c:v>
                </c:pt>
                <c:pt idx="1">
                  <c:v>120.68188552443132</c:v>
                </c:pt>
                <c:pt idx="2">
                  <c:v>141.833575210795</c:v>
                </c:pt>
                <c:pt idx="3">
                  <c:v>157.19820964506903</c:v>
                </c:pt>
                <c:pt idx="4">
                  <c:v>165.92800998864135</c:v>
                </c:pt>
                <c:pt idx="5">
                  <c:v>168.51544667466101</c:v>
                </c:pt>
                <c:pt idx="6">
                  <c:v>166.42121620806913</c:v>
                </c:pt>
                <c:pt idx="7">
                  <c:v>161.35389186943712</c:v>
                </c:pt>
                <c:pt idx="8">
                  <c:v>154.75504373936752</c:v>
                </c:pt>
                <c:pt idx="9">
                  <c:v>147.63405944802452</c:v>
                </c:pt>
                <c:pt idx="10">
                  <c:v>140.61577660372976</c:v>
                </c:pt>
                <c:pt idx="11">
                  <c:v>134.05146058023925</c:v>
                </c:pt>
                <c:pt idx="12">
                  <c:v>128.11953561536419</c:v>
                </c:pt>
                <c:pt idx="13">
                  <c:v>122.8970951713108</c:v>
                </c:pt>
                <c:pt idx="14">
                  <c:v>118.40524140831113</c:v>
                </c:pt>
                <c:pt idx="15">
                  <c:v>114.63610220963503</c:v>
                </c:pt>
                <c:pt idx="16">
                  <c:v>111.56829974611691</c:v>
                </c:pt>
                <c:pt idx="17">
                  <c:v>109.17551851156392</c:v>
                </c:pt>
                <c:pt idx="18">
                  <c:v>107.43107292203632</c:v>
                </c:pt>
                <c:pt idx="19">
                  <c:v>106.31020214514473</c:v>
                </c:pt>
                <c:pt idx="20">
                  <c:v>105.79109680189069</c:v>
                </c:pt>
                <c:pt idx="21">
                  <c:v>105.8552338023115</c:v>
                </c:pt>
                <c:pt idx="22">
                  <c:v>106.48734671703764</c:v>
                </c:pt>
                <c:pt idx="23">
                  <c:v>107.67521590152067</c:v>
                </c:pt>
                <c:pt idx="24">
                  <c:v>109.40938061032396</c:v>
                </c:pt>
                <c:pt idx="25">
                  <c:v>111.68282856892056</c:v>
                </c:pt>
                <c:pt idx="26">
                  <c:v>114.4906919123632</c:v>
                </c:pt>
                <c:pt idx="27">
                  <c:v>117.82996344283669</c:v>
                </c:pt>
                <c:pt idx="28">
                  <c:v>68.090087301925024</c:v>
                </c:pt>
                <c:pt idx="29">
                  <c:v>74.772683944658468</c:v>
                </c:pt>
                <c:pt idx="30">
                  <c:v>81.873832476616059</c:v>
                </c:pt>
                <c:pt idx="31">
                  <c:v>87.965363920076541</c:v>
                </c:pt>
                <c:pt idx="32">
                  <c:v>158.89451172641233</c:v>
                </c:pt>
                <c:pt idx="33">
                  <c:v>119.91679821027934</c:v>
                </c:pt>
                <c:pt idx="34">
                  <c:v>126.42654472398772</c:v>
                </c:pt>
                <c:pt idx="35">
                  <c:v>135.14618502760507</c:v>
                </c:pt>
                <c:pt idx="36">
                  <c:v>144.78200385054882</c:v>
                </c:pt>
                <c:pt idx="37">
                  <c:v>155.06801829334955</c:v>
                </c:pt>
                <c:pt idx="38">
                  <c:v>165.92334542759397</c:v>
                </c:pt>
                <c:pt idx="39">
                  <c:v>177.32053200477404</c:v>
                </c:pt>
                <c:pt idx="40">
                  <c:v>189.25167567707081</c:v>
                </c:pt>
                <c:pt idx="41">
                  <c:v>201.71707022903416</c:v>
                </c:pt>
                <c:pt idx="42">
                  <c:v>227.0482506327121</c:v>
                </c:pt>
                <c:pt idx="43">
                  <c:v>241.04852670104637</c:v>
                </c:pt>
                <c:pt idx="44">
                  <c:v>255.68266080314874</c:v>
                </c:pt>
                <c:pt idx="45">
                  <c:v>270.91637642271388</c:v>
                </c:pt>
                <c:pt idx="46">
                  <c:v>286.74297337107521</c:v>
                </c:pt>
                <c:pt idx="47">
                  <c:v>303.1622188866076</c:v>
                </c:pt>
                <c:pt idx="48">
                  <c:v>320.17601068587823</c:v>
                </c:pt>
                <c:pt idx="49">
                  <c:v>337.78693116547743</c:v>
                </c:pt>
                <c:pt idx="50">
                  <c:v>355.99763195399896</c:v>
                </c:pt>
                <c:pt idx="51">
                  <c:v>374.81052759280232</c:v>
                </c:pt>
                <c:pt idx="52">
                  <c:v>394.22762503692593</c:v>
                </c:pt>
                <c:pt idx="53">
                  <c:v>414.25042033502683</c:v>
                </c:pt>
                <c:pt idx="54">
                  <c:v>434.87983175390747</c:v>
                </c:pt>
                <c:pt idx="55">
                  <c:v>456.11615428404758</c:v>
                </c:pt>
                <c:pt idx="56">
                  <c:v>477.95902762168373</c:v>
                </c:pt>
                <c:pt idx="57">
                  <c:v>500.40741325683217</c:v>
                </c:pt>
                <c:pt idx="58">
                  <c:v>523.45957815237955</c:v>
                </c:pt>
                <c:pt idx="59">
                  <c:v>547.11308352256992</c:v>
                </c:pt>
                <c:pt idx="60">
                  <c:v>571.36477780520454</c:v>
                </c:pt>
                <c:pt idx="61">
                  <c:v>596.21079326782467</c:v>
                </c:pt>
                <c:pt idx="62">
                  <c:v>621.64654589561474</c:v>
                </c:pt>
                <c:pt idx="63">
                  <c:v>647.66673833435436</c:v>
                </c:pt>
                <c:pt idx="64">
                  <c:v>674.26536573702731</c:v>
                </c:pt>
                <c:pt idx="65">
                  <c:v>701.43572440593596</c:v>
                </c:pt>
                <c:pt idx="66">
                  <c:v>729.17042314534183</c:v>
                </c:pt>
                <c:pt idx="67">
                  <c:v>757.46139724870704</c:v>
                </c:pt>
                <c:pt idx="68">
                  <c:v>786.29992504579673</c:v>
                </c:pt>
                <c:pt idx="69">
                  <c:v>815.6766469289862</c:v>
                </c:pt>
                <c:pt idx="70">
                  <c:v>845.58158676898245</c:v>
                </c:pt>
                <c:pt idx="71">
                  <c:v>876.00417561872814</c:v>
                </c:pt>
                <c:pt idx="72">
                  <c:v>906.93327759072929</c:v>
                </c:pt>
                <c:pt idx="73">
                  <c:v>938.35721777967581</c:v>
                </c:pt>
                <c:pt idx="74">
                  <c:v>970.26381208853923</c:v>
                </c:pt>
                <c:pt idx="75">
                  <c:v>1002.6403988027226</c:v>
                </c:pt>
                <c:pt idx="76">
                  <c:v>1035.4738717451771</c:v>
                </c:pt>
                <c:pt idx="77">
                  <c:v>1068.7507148338318</c:v>
                </c:pt>
                <c:pt idx="78">
                  <c:v>1102.4570378532537</c:v>
                </c:pt>
                <c:pt idx="79">
                  <c:v>1136.5786132441333</c:v>
                </c:pt>
                <c:pt idx="80">
                  <c:v>1171.1009137088486</c:v>
                </c:pt>
                <c:pt idx="81">
                  <c:v>1206.0091504260695</c:v>
                </c:pt>
                <c:pt idx="82">
                  <c:v>1241.2883116656928</c:v>
                </c:pt>
                <c:pt idx="83">
                  <c:v>1276.9232015952589</c:v>
                </c:pt>
                <c:pt idx="84">
                  <c:v>1312.8984790700638</c:v>
                </c:pt>
                <c:pt idx="85">
                  <c:v>1349.1986962036119</c:v>
                </c:pt>
                <c:pt idx="86">
                  <c:v>1385.8083365205625</c:v>
                </c:pt>
                <c:pt idx="87">
                  <c:v>1422.7118525007118</c:v>
                </c:pt>
                <c:pt idx="88">
                  <c:v>1459.8937023328683</c:v>
                </c:pt>
                <c:pt idx="89">
                  <c:v>1497.33838570689</c:v>
                </c:pt>
                <c:pt idx="90">
                  <c:v>1535.030478484892</c:v>
                </c:pt>
                <c:pt idx="91">
                  <c:v>1572.9546661044262</c:v>
                </c:pt>
                <c:pt idx="92">
                  <c:v>1611.0957755809131</c:v>
                </c:pt>
                <c:pt idx="93">
                  <c:v>1649.4388059917285</c:v>
                </c:pt>
                <c:pt idx="94">
                  <c:v>1687.9689573378034</c:v>
                </c:pt>
                <c:pt idx="95">
                  <c:v>1726.6716576961383</c:v>
                </c:pt>
                <c:pt idx="96">
                  <c:v>1765.5325885898894</c:v>
                </c:pt>
                <c:pt idx="97">
                  <c:v>1804.5377085203363</c:v>
                </c:pt>
                <c:pt idx="98">
                  <c:v>1843.6732746186944</c:v>
                </c:pt>
                <c:pt idx="99">
                  <c:v>1882.9258623914743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83-4F6A-BEDA-77EEE29408F5}"/>
            </c:ext>
          </c:extLst>
        </c:ser>
        <c:ser>
          <c:idx val="1"/>
          <c:order val="1"/>
          <c:tx>
            <c:strRef>
              <c:f>'40000'!$AO$25</c:f>
              <c:strCache>
                <c:ptCount val="1"/>
                <c:pt idx="0">
                  <c:v>Vv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'40000'!$AO$26:$AO$125</c:f>
              <c:numCache>
                <c:formatCode>General</c:formatCode>
                <c:ptCount val="100"/>
                <c:pt idx="0">
                  <c:v>588.68140249573105</c:v>
                </c:pt>
                <c:pt idx="1">
                  <c:v>454.8921837036724</c:v>
                </c:pt>
                <c:pt idx="2">
                  <c:v>370.51219410372028</c:v>
                </c:pt>
                <c:pt idx="3">
                  <c:v>312.47116290156691</c:v>
                </c:pt>
                <c:pt idx="4">
                  <c:v>270.1531651476007</c:v>
                </c:pt>
                <c:pt idx="5">
                  <c:v>237.99547359149989</c:v>
                </c:pt>
                <c:pt idx="6">
                  <c:v>212.80462583828495</c:v>
                </c:pt>
                <c:pt idx="7">
                  <c:v>192.61886340784241</c:v>
                </c:pt>
                <c:pt idx="8">
                  <c:v>176.16856355469309</c:v>
                </c:pt>
                <c:pt idx="9">
                  <c:v>162.59746237487656</c:v>
                </c:pt>
                <c:pt idx="10">
                  <c:v>151.30857503212226</c:v>
                </c:pt>
                <c:pt idx="11">
                  <c:v>141.87425445446155</c:v>
                </c:pt>
                <c:pt idx="12">
                  <c:v>133.98126073954487</c:v>
                </c:pt>
                <c:pt idx="13">
                  <c:v>127.39591023112376</c:v>
                </c:pt>
                <c:pt idx="14">
                  <c:v>121.94123263650603</c:v>
                </c:pt>
                <c:pt idx="15">
                  <c:v>117.48157133045952</c:v>
                </c:pt>
                <c:pt idx="16">
                  <c:v>113.91194306785539</c:v>
                </c:pt>
                <c:pt idx="17">
                  <c:v>111.15052507806907</c:v>
                </c:pt>
                <c:pt idx="18">
                  <c:v>109.13324722471675</c:v>
                </c:pt>
                <c:pt idx="19">
                  <c:v>107.80983180263291</c:v>
                </c:pt>
                <c:pt idx="20">
                  <c:v>107.1408481733245</c:v>
                </c:pt>
                <c:pt idx="21">
                  <c:v>107.09549126120295</c:v>
                </c:pt>
                <c:pt idx="22">
                  <c:v>107.64988452967536</c:v>
                </c:pt>
                <c:pt idx="23">
                  <c:v>108.78576844308336</c:v>
                </c:pt>
                <c:pt idx="24">
                  <c:v>110.48947598225641</c:v>
                </c:pt>
                <c:pt idx="25">
                  <c:v>112.75112449537238</c:v>
                </c:pt>
                <c:pt idx="26">
                  <c:v>115.56397239987371</c:v>
                </c:pt>
                <c:pt idx="27">
                  <c:v>118.92390279352925</c:v>
                </c:pt>
                <c:pt idx="28" formatCode="0.00E+00">
                  <c:v>128.266308333333</c:v>
                </c:pt>
                <c:pt idx="29" formatCode="0.00E+00">
                  <c:v>120.412216666666</c:v>
                </c:pt>
                <c:pt idx="30" formatCode="0.00E+00">
                  <c:v>112.558125</c:v>
                </c:pt>
                <c:pt idx="31" formatCode="0.00E+00">
                  <c:v>104.704033333333</c:v>
                </c:pt>
                <c:pt idx="32">
                  <c:v>96.849941666666595</c:v>
                </c:pt>
                <c:pt idx="33">
                  <c:v>120.71200861740085</c:v>
                </c:pt>
                <c:pt idx="34">
                  <c:v>127.31096036604954</c:v>
                </c:pt>
                <c:pt idx="35">
                  <c:v>136.17398160535188</c:v>
                </c:pt>
                <c:pt idx="36">
                  <c:v>145.9860219008292</c:v>
                </c:pt>
                <c:pt idx="37">
                  <c:v>156.47922436039281</c:v>
                </c:pt>
                <c:pt idx="38">
                  <c:v>167.57447723321073</c:v>
                </c:pt>
                <c:pt idx="39">
                  <c:v>179.24738963047449</c:v>
                </c:pt>
                <c:pt idx="40">
                  <c:v>191.49383064856767</c:v>
                </c:pt>
                <c:pt idx="41">
                  <c:v>204.31839388376744</c:v>
                </c:pt>
                <c:pt idx="42">
                  <c:v>230.6199330560452</c:v>
                </c:pt>
                <c:pt idx="43">
                  <c:v>245.15160580786542</c:v>
                </c:pt>
                <c:pt idx="44">
                  <c:v>260.38817677131567</c:v>
                </c:pt>
                <c:pt idx="45">
                  <c:v>276.300658007609</c:v>
                </c:pt>
                <c:pt idx="46">
                  <c:v>292.88933239964786</c:v>
                </c:pt>
                <c:pt idx="47">
                  <c:v>310.16177356479329</c:v>
                </c:pt>
                <c:pt idx="48">
                  <c:v>328.12835388748357</c:v>
                </c:pt>
                <c:pt idx="49">
                  <c:v>346.80076241586642</c:v>
                </c:pt>
                <c:pt idx="50">
                  <c:v>366.19138551531324</c:v>
                </c:pt>
                <c:pt idx="51">
                  <c:v>386.31300766703743</c:v>
                </c:pt>
                <c:pt idx="52">
                  <c:v>407.17865206052238</c:v>
                </c:pt>
                <c:pt idx="53">
                  <c:v>428.80148952182128</c:v>
                </c:pt>
                <c:pt idx="54">
                  <c:v>451.19478372699893</c:v>
                </c:pt>
                <c:pt idx="55">
                  <c:v>474.37185693124741</c:v>
                </c:pt>
                <c:pt idx="56">
                  <c:v>498.34606788028935</c:v>
                </c:pt>
                <c:pt idx="57">
                  <c:v>523.13079724286138</c:v>
                </c:pt>
                <c:pt idx="58">
                  <c:v>548.73943783496941</c:v>
                </c:pt>
                <c:pt idx="59">
                  <c:v>575.18538797644544</c:v>
                </c:pt>
                <c:pt idx="60">
                  <c:v>602.48204693837067</c:v>
                </c:pt>
                <c:pt idx="61">
                  <c:v>630.64281181072806</c:v>
                </c:pt>
                <c:pt idx="62">
                  <c:v>659.68107534836827</c:v>
                </c:pt>
                <c:pt idx="63">
                  <c:v>689.61022449862094</c:v>
                </c:pt>
                <c:pt idx="64">
                  <c:v>720.44363940820517</c:v>
                </c:pt>
                <c:pt idx="65">
                  <c:v>752.19469276925429</c:v>
                </c:pt>
                <c:pt idx="66">
                  <c:v>784.8767494065238</c:v>
                </c:pt>
                <c:pt idx="67">
                  <c:v>818.50316603604369</c:v>
                </c:pt>
                <c:pt idx="68">
                  <c:v>853.0872911461264</c:v>
                </c:pt>
                <c:pt idx="69">
                  <c:v>888.64246496492672</c:v>
                </c:pt>
                <c:pt idx="70">
                  <c:v>925.18201948877902</c:v>
                </c:pt>
                <c:pt idx="71">
                  <c:v>962.71927855292836</c:v>
                </c:pt>
                <c:pt idx="72">
                  <c:v>1001.2675579308234</c:v>
                </c:pt>
                <c:pt idx="73">
                  <c:v>1040.8401654522277</c:v>
                </c:pt>
                <c:pt idx="74">
                  <c:v>1081.4504011331273</c:v>
                </c:pt>
                <c:pt idx="75">
                  <c:v>1123.1115573117975</c:v>
                </c:pt>
                <c:pt idx="76">
                  <c:v>1165.8369187877045</c:v>
                </c:pt>
                <c:pt idx="77">
                  <c:v>1209.6397629603707</c:v>
                </c:pt>
                <c:pt idx="78">
                  <c:v>1254.5333599663902</c:v>
                </c:pt>
                <c:pt idx="79">
                  <c:v>1300.5309728128857</c:v>
                </c:pt>
                <c:pt idx="80">
                  <c:v>1347.6458575073273</c:v>
                </c:pt>
                <c:pt idx="81">
                  <c:v>1395.8912631824705</c:v>
                </c:pt>
                <c:pt idx="82">
                  <c:v>1445.2804322162406</c:v>
                </c:pt>
                <c:pt idx="83">
                  <c:v>1495.8266003467977</c:v>
                </c:pt>
                <c:pt idx="84">
                  <c:v>1547.5429967820764</c:v>
                </c:pt>
                <c:pt idx="85">
                  <c:v>1600.4428443043339</c:v>
                </c:pt>
                <c:pt idx="86">
                  <c:v>1654.5393593702418</c:v>
                </c:pt>
                <c:pt idx="87">
                  <c:v>1709.8457522055355</c:v>
                </c:pt>
                <c:pt idx="88">
                  <c:v>1766.3752268954656</c:v>
                </c:pt>
                <c:pt idx="89">
                  <c:v>1824.1409814705028</c:v>
                </c:pt>
                <c:pt idx="90">
                  <c:v>1883.156207988505</c:v>
                </c:pt>
                <c:pt idx="91">
                  <c:v>1943.4340926125431</c:v>
                </c:pt>
                <c:pt idx="92">
                  <c:v>2004.9878156847176</c:v>
                </c:pt>
                <c:pt idx="93">
                  <c:v>2067.8305517973249</c:v>
                </c:pt>
                <c:pt idx="94">
                  <c:v>2131.9754698597249</c:v>
                </c:pt>
                <c:pt idx="95">
                  <c:v>2197.4357331632268</c:v>
                </c:pt>
                <c:pt idx="96">
                  <c:v>2264.224499441907</c:v>
                </c:pt>
                <c:pt idx="97">
                  <c:v>2332.3549209315288</c:v>
                </c:pt>
                <c:pt idx="98">
                  <c:v>2401.8401444255496</c:v>
                </c:pt>
                <c:pt idx="99">
                  <c:v>2472.6933113290333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83-4F6A-BEDA-77EEE2940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491752"/>
        <c:axId val="1174485632"/>
      </c:scatterChart>
      <c:valAx>
        <c:axId val="117449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85632"/>
        <c:crosses val="autoZero"/>
        <c:crossBetween val="midCat"/>
      </c:valAx>
      <c:valAx>
        <c:axId val="117448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Sink rate (ft/s)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91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'40000'!$AB$25</c:f>
              <c:strCache>
                <c:ptCount val="1"/>
                <c:pt idx="0">
                  <c:v>Glide Angle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'40000'!$V$26:$V$125</c:f>
              <c:numCache>
                <c:formatCode>General</c:formatCode>
                <c:ptCount val="100"/>
                <c:pt idx="0">
                  <c:v>0.1</c:v>
                </c:pt>
                <c:pt idx="1">
                  <c:v>0.12929292929292899</c:v>
                </c:pt>
                <c:pt idx="2">
                  <c:v>0.158585858585859</c:v>
                </c:pt>
                <c:pt idx="3">
                  <c:v>0.18787878787878801</c:v>
                </c:pt>
                <c:pt idx="4">
                  <c:v>0.21717171717171699</c:v>
                </c:pt>
                <c:pt idx="5">
                  <c:v>0.246464646464646</c:v>
                </c:pt>
                <c:pt idx="6">
                  <c:v>0.27575757575757598</c:v>
                </c:pt>
                <c:pt idx="7">
                  <c:v>0.30505050505050502</c:v>
                </c:pt>
                <c:pt idx="8">
                  <c:v>0.334343434343434</c:v>
                </c:pt>
                <c:pt idx="9">
                  <c:v>0.36363636363636398</c:v>
                </c:pt>
                <c:pt idx="10">
                  <c:v>0.39292929292929302</c:v>
                </c:pt>
                <c:pt idx="11">
                  <c:v>0.422222222222222</c:v>
                </c:pt>
                <c:pt idx="12">
                  <c:v>0.45151515151515198</c:v>
                </c:pt>
                <c:pt idx="13">
                  <c:v>0.48080808080808102</c:v>
                </c:pt>
                <c:pt idx="14">
                  <c:v>0.51010101010101006</c:v>
                </c:pt>
                <c:pt idx="15">
                  <c:v>0.53939393939393898</c:v>
                </c:pt>
                <c:pt idx="16">
                  <c:v>0.56868686868686902</c:v>
                </c:pt>
                <c:pt idx="17">
                  <c:v>0.59797979797979794</c:v>
                </c:pt>
                <c:pt idx="18">
                  <c:v>0.62727272727272698</c:v>
                </c:pt>
                <c:pt idx="19">
                  <c:v>0.65656565656565702</c:v>
                </c:pt>
                <c:pt idx="20">
                  <c:v>0.68585858585858595</c:v>
                </c:pt>
                <c:pt idx="21">
                  <c:v>0.71515151515151498</c:v>
                </c:pt>
                <c:pt idx="22">
                  <c:v>0.74444444444444402</c:v>
                </c:pt>
                <c:pt idx="23">
                  <c:v>0.77373737373737395</c:v>
                </c:pt>
                <c:pt idx="24">
                  <c:v>0.80303030303030298</c:v>
                </c:pt>
                <c:pt idx="25">
                  <c:v>0.83232323232323202</c:v>
                </c:pt>
                <c:pt idx="26">
                  <c:v>0.86161616161616195</c:v>
                </c:pt>
                <c:pt idx="27">
                  <c:v>0.89090909090909098</c:v>
                </c:pt>
                <c:pt idx="28">
                  <c:v>0.92020202020202002</c:v>
                </c:pt>
                <c:pt idx="29">
                  <c:v>0.94949494949494895</c:v>
                </c:pt>
                <c:pt idx="30">
                  <c:v>0.97878787878787898</c:v>
                </c:pt>
                <c:pt idx="31">
                  <c:v>1.0080808080807999</c:v>
                </c:pt>
                <c:pt idx="32">
                  <c:v>1.03737373737373</c:v>
                </c:pt>
                <c:pt idx="33">
                  <c:v>1.06666666666666</c:v>
                </c:pt>
                <c:pt idx="34">
                  <c:v>1.09595959595959</c:v>
                </c:pt>
                <c:pt idx="35">
                  <c:v>1.1252525252525201</c:v>
                </c:pt>
                <c:pt idx="36">
                  <c:v>1.1545454545454501</c:v>
                </c:pt>
                <c:pt idx="37">
                  <c:v>1.1838383838383799</c:v>
                </c:pt>
                <c:pt idx="38">
                  <c:v>1.21313131313131</c:v>
                </c:pt>
                <c:pt idx="39">
                  <c:v>1.24242424242424</c:v>
                </c:pt>
                <c:pt idx="40">
                  <c:v>1.27171717171717</c:v>
                </c:pt>
                <c:pt idx="41">
                  <c:v>1.3010101010101001</c:v>
                </c:pt>
                <c:pt idx="42">
                  <c:v>1.3303030303030301</c:v>
                </c:pt>
                <c:pt idx="43">
                  <c:v>1.3595959595959599</c:v>
                </c:pt>
                <c:pt idx="44">
                  <c:v>1.38888888888888</c:v>
                </c:pt>
                <c:pt idx="45">
                  <c:v>1.41818181818181</c:v>
                </c:pt>
                <c:pt idx="46">
                  <c:v>1.44747474747474</c:v>
                </c:pt>
                <c:pt idx="47">
                  <c:v>1.4767676767676701</c:v>
                </c:pt>
                <c:pt idx="48">
                  <c:v>1.5060606060606001</c:v>
                </c:pt>
                <c:pt idx="49">
                  <c:v>1.5353535353535299</c:v>
                </c:pt>
                <c:pt idx="50">
                  <c:v>1.56464646464646</c:v>
                </c:pt>
                <c:pt idx="51">
                  <c:v>1.59393939393939</c:v>
                </c:pt>
                <c:pt idx="52">
                  <c:v>1.62323232323232</c:v>
                </c:pt>
                <c:pt idx="53">
                  <c:v>1.6525252525252501</c:v>
                </c:pt>
                <c:pt idx="54">
                  <c:v>1.6818181818181801</c:v>
                </c:pt>
                <c:pt idx="55">
                  <c:v>1.7111111111111099</c:v>
                </c:pt>
                <c:pt idx="56">
                  <c:v>1.74040404040404</c:v>
                </c:pt>
                <c:pt idx="57">
                  <c:v>1.76969696969697</c:v>
                </c:pt>
                <c:pt idx="58">
                  <c:v>1.79898989898989</c:v>
                </c:pt>
                <c:pt idx="59">
                  <c:v>1.8282828282828201</c:v>
                </c:pt>
                <c:pt idx="60">
                  <c:v>1.8575757575757501</c:v>
                </c:pt>
                <c:pt idx="61">
                  <c:v>1.8868686868686799</c:v>
                </c:pt>
                <c:pt idx="62">
                  <c:v>1.91616161616161</c:v>
                </c:pt>
                <c:pt idx="63">
                  <c:v>1.94545454545454</c:v>
                </c:pt>
                <c:pt idx="64">
                  <c:v>1.97474747474747</c:v>
                </c:pt>
                <c:pt idx="65">
                  <c:v>2.0040404040404001</c:v>
                </c:pt>
                <c:pt idx="66">
                  <c:v>2.0333333333333301</c:v>
                </c:pt>
                <c:pt idx="67">
                  <c:v>2.0626262626262601</c:v>
                </c:pt>
                <c:pt idx="68">
                  <c:v>2.0919191919191902</c:v>
                </c:pt>
                <c:pt idx="69">
                  <c:v>2.1212121212121202</c:v>
                </c:pt>
                <c:pt idx="70">
                  <c:v>2.1505050505050498</c:v>
                </c:pt>
                <c:pt idx="71">
                  <c:v>2.1797979797979798</c:v>
                </c:pt>
                <c:pt idx="72">
                  <c:v>2.2090909090909001</c:v>
                </c:pt>
                <c:pt idx="73">
                  <c:v>2.2383838383838301</c:v>
                </c:pt>
                <c:pt idx="74">
                  <c:v>2.2676767676767602</c:v>
                </c:pt>
                <c:pt idx="75">
                  <c:v>2.2969696969696898</c:v>
                </c:pt>
                <c:pt idx="76">
                  <c:v>2.3262626262626198</c:v>
                </c:pt>
                <c:pt idx="77">
                  <c:v>2.3555555555555499</c:v>
                </c:pt>
                <c:pt idx="78">
                  <c:v>2.3848484848484799</c:v>
                </c:pt>
                <c:pt idx="79">
                  <c:v>2.4141414141414099</c:v>
                </c:pt>
                <c:pt idx="80">
                  <c:v>2.44343434343434</c:v>
                </c:pt>
                <c:pt idx="81">
                  <c:v>2.47272727272727</c:v>
                </c:pt>
                <c:pt idx="82">
                  <c:v>2.5020202020202</c:v>
                </c:pt>
                <c:pt idx="83">
                  <c:v>2.5313131313131301</c:v>
                </c:pt>
                <c:pt idx="84">
                  <c:v>2.5606060606060601</c:v>
                </c:pt>
                <c:pt idx="85">
                  <c:v>2.5898989898989901</c:v>
                </c:pt>
                <c:pt idx="86">
                  <c:v>2.61919191919191</c:v>
                </c:pt>
                <c:pt idx="87">
                  <c:v>2.64848484848484</c:v>
                </c:pt>
                <c:pt idx="88">
                  <c:v>2.67777777777777</c:v>
                </c:pt>
                <c:pt idx="89">
                  <c:v>2.7070707070707001</c:v>
                </c:pt>
                <c:pt idx="90">
                  <c:v>2.7363636363636301</c:v>
                </c:pt>
                <c:pt idx="91">
                  <c:v>2.7656565656565602</c:v>
                </c:pt>
                <c:pt idx="92">
                  <c:v>2.7949494949494902</c:v>
                </c:pt>
                <c:pt idx="93">
                  <c:v>2.8242424242424198</c:v>
                </c:pt>
                <c:pt idx="94">
                  <c:v>2.8535353535353498</c:v>
                </c:pt>
                <c:pt idx="95">
                  <c:v>2.8828282828282799</c:v>
                </c:pt>
                <c:pt idx="96">
                  <c:v>2.9121212121212099</c:v>
                </c:pt>
                <c:pt idx="97">
                  <c:v>2.9414141414141399</c:v>
                </c:pt>
                <c:pt idx="98">
                  <c:v>2.97070707070707</c:v>
                </c:pt>
                <c:pt idx="99">
                  <c:v>3</c:v>
                </c:pt>
              </c:numCache>
            </c:numRef>
          </c:xVal>
          <c:yVal>
            <c:numRef>
              <c:f>'40000'!$AB$26:$AB$125</c:f>
              <c:numCache>
                <c:formatCode>General</c:formatCode>
                <c:ptCount val="100"/>
                <c:pt idx="0">
                  <c:v>1.4078356869073418</c:v>
                </c:pt>
                <c:pt idx="1">
                  <c:v>1.3023329399583947</c:v>
                </c:pt>
                <c:pt idx="2">
                  <c:v>1.1780410090210691</c:v>
                </c:pt>
                <c:pt idx="3">
                  <c:v>1.0437410397034439</c:v>
                </c:pt>
                <c:pt idx="4">
                  <c:v>0.90956444209153742</c:v>
                </c:pt>
                <c:pt idx="5">
                  <c:v>0.78422687176405825</c:v>
                </c:pt>
                <c:pt idx="6">
                  <c:v>0.67309289137947426</c:v>
                </c:pt>
                <c:pt idx="7">
                  <c:v>0.57804123481453495</c:v>
                </c:pt>
                <c:pt idx="8">
                  <c:v>0.49852014334745598</c:v>
                </c:pt>
                <c:pt idx="9">
                  <c:v>0.43276456552446052</c:v>
                </c:pt>
                <c:pt idx="10">
                  <c:v>0.37865023869949821</c:v>
                </c:pt>
                <c:pt idx="11">
                  <c:v>0.33414350571337137</c:v>
                </c:pt>
                <c:pt idx="12">
                  <c:v>0.29748023092159481</c:v>
                </c:pt>
                <c:pt idx="13">
                  <c:v>0.26720264747496886</c:v>
                </c:pt>
                <c:pt idx="14">
                  <c:v>0.24213492563090189</c:v>
                </c:pt>
                <c:pt idx="15">
                  <c:v>0.22133896565073094</c:v>
                </c:pt>
                <c:pt idx="16">
                  <c:v>0.20406886386007336</c:v>
                </c:pt>
                <c:pt idx="17">
                  <c:v>0.18973092782006318</c:v>
                </c:pt>
                <c:pt idx="18">
                  <c:v>0.17785090800679493</c:v>
                </c:pt>
                <c:pt idx="19">
                  <c:v>0.16804803376678668</c:v>
                </c:pt>
                <c:pt idx="20">
                  <c:v>0.16001477780466314</c:v>
                </c:pt>
                <c:pt idx="21">
                  <c:v>0.15350119810841531</c:v>
                </c:pt>
                <c:pt idx="22">
                  <c:v>0.148302843240631</c:v>
                </c:pt>
                <c:pt idx="23">
                  <c:v>0.14425139624503433</c:v>
                </c:pt>
                <c:pt idx="24">
                  <c:v>0.14120741204180565</c:v>
                </c:pt>
                <c:pt idx="25">
                  <c:v>0.13905465363981057</c:v>
                </c:pt>
                <c:pt idx="26">
                  <c:v>0.13769565152909391</c:v>
                </c:pt>
                <c:pt idx="27">
                  <c:v>0.13704820209332536</c:v>
                </c:pt>
                <c:pt idx="28">
                  <c:v>7.6509459223210133E-2</c:v>
                </c:pt>
                <c:pt idx="29">
                  <c:v>8.1436873274391003E-2</c:v>
                </c:pt>
                <c:pt idx="30">
                  <c:v>8.651453429926359E-2</c:v>
                </c:pt>
                <c:pt idx="31">
                  <c:v>9.026031557436584E-2</c:v>
                </c:pt>
                <c:pt idx="32">
                  <c:v>0.15888875584275639</c:v>
                </c:pt>
                <c:pt idx="33">
                  <c:v>0.11639195177714351</c:v>
                </c:pt>
                <c:pt idx="34">
                  <c:v>0.11944488002617973</c:v>
                </c:pt>
                <c:pt idx="35">
                  <c:v>0.1243840995158977</c:v>
                </c:pt>
                <c:pt idx="36">
                  <c:v>0.12990213625143932</c:v>
                </c:pt>
                <c:pt idx="37">
                  <c:v>0.1357233654138485</c:v>
                </c:pt>
                <c:pt idx="38">
                  <c:v>0.14175743012312672</c:v>
                </c:pt>
                <c:pt idx="39">
                  <c:v>0.14796727181914515</c:v>
                </c:pt>
                <c:pt idx="40">
                  <c:v>0.15433531409474191</c:v>
                </c:pt>
                <c:pt idx="41">
                  <c:v>0.16085220507036904</c:v>
                </c:pt>
                <c:pt idx="42">
                  <c:v>0.17722873370870224</c:v>
                </c:pt>
                <c:pt idx="43">
                  <c:v>0.18418040410475417</c:v>
                </c:pt>
                <c:pt idx="44">
                  <c:v>0.19132745529084785</c:v>
                </c:pt>
                <c:pt idx="45">
                  <c:v>0.19863401863941396</c:v>
                </c:pt>
                <c:pt idx="46">
                  <c:v>0.2060871957520464</c:v>
                </c:pt>
                <c:pt idx="47">
                  <c:v>0.21367981205334408</c:v>
                </c:pt>
                <c:pt idx="48">
                  <c:v>0.22140684856311987</c:v>
                </c:pt>
                <c:pt idx="49">
                  <c:v>0.22926425349001209</c:v>
                </c:pt>
                <c:pt idx="50">
                  <c:v>0.23724844240592419</c:v>
                </c:pt>
                <c:pt idx="51">
                  <c:v>0.24535605604817337</c:v>
                </c:pt>
                <c:pt idx="52">
                  <c:v>0.2535838314300865</c:v>
                </c:pt>
                <c:pt idx="53">
                  <c:v>0.26192852870698763</c:v>
                </c:pt>
                <c:pt idx="54">
                  <c:v>0.27038688785209686</c:v>
                </c:pt>
                <c:pt idx="55">
                  <c:v>0.27895560233366595</c:v>
                </c:pt>
                <c:pt idx="56">
                  <c:v>0.28763130301431356</c:v>
                </c:pt>
                <c:pt idx="57">
                  <c:v>0.29641054848221526</c:v>
                </c:pt>
                <c:pt idx="58">
                  <c:v>0.3052898195992646</c:v>
                </c:pt>
                <c:pt idx="59">
                  <c:v>0.31426551692380778</c:v>
                </c:pt>
                <c:pt idx="60">
                  <c:v>0.32333396016853388</c:v>
                </c:pt>
                <c:pt idx="61">
                  <c:v>0.33249138915408405</c:v>
                </c:pt>
                <c:pt idx="62">
                  <c:v>0.34173396590250782</c:v>
                </c:pt>
                <c:pt idx="63">
                  <c:v>0.35105777762957718</c:v>
                </c:pt>
                <c:pt idx="64">
                  <c:v>0.3604588404681302</c:v>
                </c:pt>
                <c:pt idx="65">
                  <c:v>0.36993310380158362</c:v>
                </c:pt>
                <c:pt idx="66">
                  <c:v>0.37947645511741046</c:v>
                </c:pt>
                <c:pt idx="67">
                  <c:v>0.38908472530997812</c:v>
                </c:pt>
                <c:pt idx="68">
                  <c:v>0.39875369437533092</c:v>
                </c:pt>
                <c:pt idx="69">
                  <c:v>0.4084790974484202</c:v>
                </c:pt>
                <c:pt idx="70">
                  <c:v>0.41825663113852057</c:v>
                </c:pt>
                <c:pt idx="71">
                  <c:v>0.42808196012185012</c:v>
                </c:pt>
                <c:pt idx="72">
                  <c:v>0.43795072395201518</c:v>
                </c:pt>
                <c:pt idx="73">
                  <c:v>0.44785854405004838</c:v>
                </c:pt>
                <c:pt idx="74">
                  <c:v>0.45780103083635837</c:v>
                </c:pt>
                <c:pt idx="75">
                  <c:v>0.46777379096686783</c:v>
                </c:pt>
                <c:pt idx="76">
                  <c:v>0.4777724346361763</c:v>
                </c:pt>
                <c:pt idx="77">
                  <c:v>0.48779258291050026</c:v>
                </c:pt>
                <c:pt idx="78">
                  <c:v>0.49782987505356224</c:v>
                </c:pt>
                <c:pt idx="79">
                  <c:v>0.50787997580892619</c:v>
                </c:pt>
                <c:pt idx="80">
                  <c:v>0.51793858260336978</c:v>
                </c:pt>
                <c:pt idx="81">
                  <c:v>0.52800143263630106</c:v>
                </c:pt>
                <c:pt idx="82">
                  <c:v>0.53806430982168629</c:v>
                </c:pt>
                <c:pt idx="83">
                  <c:v>0.54812305155042973</c:v>
                </c:pt>
                <c:pt idx="84">
                  <c:v>0.55817355524245305</c:v>
                </c:pt>
                <c:pt idx="85">
                  <c:v>0.56821178465995281</c:v>
                </c:pt>
                <c:pt idx="86">
                  <c:v>0.57823377595534398</c:v>
                </c:pt>
                <c:pt idx="87">
                  <c:v>0.58823564342917534</c:v>
                </c:pt>
                <c:pt idx="88">
                  <c:v>0.59821358497639532</c:v>
                </c:pt>
                <c:pt idx="89">
                  <c:v>0.60816388720127279</c:v>
                </c:pt>
                <c:pt idx="90">
                  <c:v>0.61808293018444616</c:v>
                </c:pt>
                <c:pt idx="91">
                  <c:v>0.62796719188767436</c:v>
                </c:pt>
                <c:pt idx="92">
                  <c:v>0.63781325218491347</c:v>
                </c:pt>
                <c:pt idx="93">
                  <c:v>0.64761779651130169</c:v>
                </c:pt>
                <c:pt idx="94">
                  <c:v>0.65737761912359116</c:v>
                </c:pt>
                <c:pt idx="95">
                  <c:v>0.66708962596917953</c:v>
                </c:pt>
                <c:pt idx="96">
                  <c:v>0.67675083716241469</c:v>
                </c:pt>
                <c:pt idx="97">
                  <c:v>0.68635838907030577</c:v>
                </c:pt>
                <c:pt idx="98">
                  <c:v>0.69590953601138106</c:v>
                </c:pt>
                <c:pt idx="99">
                  <c:v>0.70540165157405232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6-4D9D-B2E6-24F526B31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421624"/>
        <c:axId val="1010419824"/>
      </c:scatterChart>
      <c:valAx>
        <c:axId val="101042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19824"/>
        <c:crosses val="autoZero"/>
        <c:crossBetween val="midCat"/>
      </c:valAx>
      <c:valAx>
        <c:axId val="10104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21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Altitude vs Range at Mach</a:t>
            </a:r>
            <a:r>
              <a:rPr lang="en-US" baseline="0"/>
              <a:t> 1.7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Range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Sheet1!$F$2:$F$16</c:f>
              <c:numCache>
                <c:formatCode>General</c:formatCode>
                <c:ptCount val="15"/>
                <c:pt idx="0">
                  <c:v>50000</c:v>
                </c:pt>
                <c:pt idx="1">
                  <c:v>51000</c:v>
                </c:pt>
                <c:pt idx="2">
                  <c:v>52000</c:v>
                </c:pt>
                <c:pt idx="3">
                  <c:v>53000</c:v>
                </c:pt>
                <c:pt idx="4">
                  <c:v>54000</c:v>
                </c:pt>
                <c:pt idx="5">
                  <c:v>55000</c:v>
                </c:pt>
                <c:pt idx="6">
                  <c:v>56000</c:v>
                </c:pt>
                <c:pt idx="7">
                  <c:v>57000</c:v>
                </c:pt>
                <c:pt idx="8">
                  <c:v>58000</c:v>
                </c:pt>
                <c:pt idx="9">
                  <c:v>59000</c:v>
                </c:pt>
                <c:pt idx="10">
                  <c:v>60000</c:v>
                </c:pt>
                <c:pt idx="11">
                  <c:v>53000</c:v>
                </c:pt>
                <c:pt idx="12">
                  <c:v>53000</c:v>
                </c:pt>
                <c:pt idx="13">
                  <c:v>57000</c:v>
                </c:pt>
                <c:pt idx="14">
                  <c:v>57000</c:v>
                </c:pt>
              </c:numCache>
            </c:numRef>
          </c:xVal>
          <c:yVal>
            <c:numRef>
              <c:f>Sheet1!$G$2:$G$16</c:f>
              <c:numCache>
                <c:formatCode>General</c:formatCode>
                <c:ptCount val="15"/>
                <c:pt idx="0" formatCode="0.00E+00">
                  <c:v>3527.9398223916151</c:v>
                </c:pt>
                <c:pt idx="1">
                  <c:v>3679.0811648553004</c:v>
                </c:pt>
                <c:pt idx="2">
                  <c:v>3833.5672387371201</c:v>
                </c:pt>
                <c:pt idx="3">
                  <c:v>3990.9073213658394</c:v>
                </c:pt>
                <c:pt idx="4">
                  <c:v>4150.6541469274944</c:v>
                </c:pt>
                <c:pt idx="5">
                  <c:v>4312.1830954746692</c:v>
                </c:pt>
                <c:pt idx="6">
                  <c:v>4474.9301990953963</c:v>
                </c:pt>
                <c:pt idx="7">
                  <c:v>4637.9989554258009</c:v>
                </c:pt>
                <c:pt idx="8">
                  <c:v>4800.6968942969324</c:v>
                </c:pt>
                <c:pt idx="9" formatCode="0.00E+00">
                  <c:v>4962.1367641629695</c:v>
                </c:pt>
                <c:pt idx="10" formatCode="0.00E+00">
                  <c:v>5121.2095725248973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2B-4F1F-AD2A-364129A341A6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Range Req (4000 nm)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Sheet1!$F$2:$F$16</c:f>
              <c:numCache>
                <c:formatCode>General</c:formatCode>
                <c:ptCount val="15"/>
                <c:pt idx="0">
                  <c:v>50000</c:v>
                </c:pt>
                <c:pt idx="1">
                  <c:v>51000</c:v>
                </c:pt>
                <c:pt idx="2">
                  <c:v>52000</c:v>
                </c:pt>
                <c:pt idx="3">
                  <c:v>53000</c:v>
                </c:pt>
                <c:pt idx="4">
                  <c:v>54000</c:v>
                </c:pt>
                <c:pt idx="5">
                  <c:v>55000</c:v>
                </c:pt>
                <c:pt idx="6">
                  <c:v>56000</c:v>
                </c:pt>
                <c:pt idx="7">
                  <c:v>57000</c:v>
                </c:pt>
                <c:pt idx="8">
                  <c:v>58000</c:v>
                </c:pt>
                <c:pt idx="9">
                  <c:v>59000</c:v>
                </c:pt>
                <c:pt idx="10">
                  <c:v>60000</c:v>
                </c:pt>
                <c:pt idx="11">
                  <c:v>53000</c:v>
                </c:pt>
                <c:pt idx="12">
                  <c:v>53000</c:v>
                </c:pt>
                <c:pt idx="13">
                  <c:v>57000</c:v>
                </c:pt>
                <c:pt idx="14">
                  <c:v>57000</c:v>
                </c:pt>
              </c:numCache>
            </c:numRef>
          </c:xVal>
          <c:yVal>
            <c:numRef>
              <c:f>Sheet1!$H$2:$H$16</c:f>
              <c:numCache>
                <c:formatCode>General</c:formatCode>
                <c:ptCount val="15"/>
                <c:pt idx="11">
                  <c:v>3000</c:v>
                </c:pt>
                <c:pt idx="12">
                  <c:v>3990.9072999999999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2B-4F1F-AD2A-364129A341A6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Service Ceiling (57000 ft)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Sheet1!$F$2:$F$16</c:f>
              <c:numCache>
                <c:formatCode>General</c:formatCode>
                <c:ptCount val="15"/>
                <c:pt idx="0">
                  <c:v>50000</c:v>
                </c:pt>
                <c:pt idx="1">
                  <c:v>51000</c:v>
                </c:pt>
                <c:pt idx="2">
                  <c:v>52000</c:v>
                </c:pt>
                <c:pt idx="3">
                  <c:v>53000</c:v>
                </c:pt>
                <c:pt idx="4">
                  <c:v>54000</c:v>
                </c:pt>
                <c:pt idx="5">
                  <c:v>55000</c:v>
                </c:pt>
                <c:pt idx="6">
                  <c:v>56000</c:v>
                </c:pt>
                <c:pt idx="7">
                  <c:v>57000</c:v>
                </c:pt>
                <c:pt idx="8">
                  <c:v>58000</c:v>
                </c:pt>
                <c:pt idx="9">
                  <c:v>59000</c:v>
                </c:pt>
                <c:pt idx="10">
                  <c:v>60000</c:v>
                </c:pt>
                <c:pt idx="11">
                  <c:v>53000</c:v>
                </c:pt>
                <c:pt idx="12">
                  <c:v>53000</c:v>
                </c:pt>
                <c:pt idx="13">
                  <c:v>57000</c:v>
                </c:pt>
                <c:pt idx="14">
                  <c:v>57000</c:v>
                </c:pt>
              </c:numCache>
            </c:numRef>
          </c:xVal>
          <c:yVal>
            <c:numRef>
              <c:f>Sheet1!$I$2:$I$16</c:f>
              <c:numCache>
                <c:formatCode>General</c:formatCode>
                <c:ptCount val="15"/>
                <c:pt idx="13">
                  <c:v>3000</c:v>
                </c:pt>
                <c:pt idx="14">
                  <c:v>4637.9989554258009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DE-4AF0-8B15-8E3E4656E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090415"/>
        <c:axId val="411099535"/>
      </c:scatterChart>
      <c:valAx>
        <c:axId val="411090415"/>
        <c:scaling>
          <c:orientation val="minMax"/>
          <c:max val="60000"/>
          <c:min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99535"/>
        <c:crosses val="autoZero"/>
        <c:crossBetween val="midCat"/>
        <c:majorUnit val="1000"/>
      </c:valAx>
      <c:valAx>
        <c:axId val="411099535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90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504825</xdr:colOff>
      <xdr:row>0</xdr:row>
      <xdr:rowOff>135467</xdr:rowOff>
    </xdr:from>
    <xdr:to>
      <xdr:col>23</xdr:col>
      <xdr:colOff>562767</xdr:colOff>
      <xdr:row>22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D82E9-4687-4909-813F-ADDE2D04D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255588</xdr:colOff>
      <xdr:row>0</xdr:row>
      <xdr:rowOff>0</xdr:rowOff>
    </xdr:from>
    <xdr:to>
      <xdr:col>11</xdr:col>
      <xdr:colOff>249237</xdr:colOff>
      <xdr:row>21</xdr:row>
      <xdr:rowOff>146843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59B247-BE28-4F62-9F09-AC11EDB4A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700497</xdr:colOff>
      <xdr:row>23</xdr:row>
      <xdr:rowOff>93675</xdr:rowOff>
    </xdr:from>
    <xdr:to>
      <xdr:col>52</xdr:col>
      <xdr:colOff>278664</xdr:colOff>
      <xdr:row>46</xdr:row>
      <xdr:rowOff>122335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A6648D-B710-4558-BC5E-A28778CC3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584560</xdr:colOff>
      <xdr:row>8</xdr:row>
      <xdr:rowOff>39439</xdr:rowOff>
    </xdr:from>
    <xdr:to>
      <xdr:col>35</xdr:col>
      <xdr:colOff>1068789</xdr:colOff>
      <xdr:row>22</xdr:row>
      <xdr:rowOff>88638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AAF6F4-5806-4B52-ABC4-32DF5E6A4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255973</xdr:colOff>
      <xdr:row>7</xdr:row>
      <xdr:rowOff>30934</xdr:rowOff>
    </xdr:from>
    <xdr:to>
      <xdr:col>44</xdr:col>
      <xdr:colOff>342761</xdr:colOff>
      <xdr:row>21</xdr:row>
      <xdr:rowOff>80381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CB8241-DCA2-4F66-B450-082BB1DD9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915744</xdr:colOff>
      <xdr:row>5</xdr:row>
      <xdr:rowOff>63710</xdr:rowOff>
    </xdr:from>
    <xdr:to>
      <xdr:col>30</xdr:col>
      <xdr:colOff>80238</xdr:colOff>
      <xdr:row>20</xdr:row>
      <xdr:rowOff>120068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9C110E-4251-4AED-97AB-F3968256E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504825</xdr:colOff>
      <xdr:row>0</xdr:row>
      <xdr:rowOff>19050</xdr:rowOff>
    </xdr:from>
    <xdr:to>
      <xdr:col>23</xdr:col>
      <xdr:colOff>558005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8332F-5EDE-4753-ADA8-3F7C7A969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255588</xdr:colOff>
      <xdr:row>0</xdr:row>
      <xdr:rowOff>0</xdr:rowOff>
    </xdr:from>
    <xdr:to>
      <xdr:col>11</xdr:col>
      <xdr:colOff>249237</xdr:colOff>
      <xdr:row>21</xdr:row>
      <xdr:rowOff>146843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0EDD2C-B97A-42DE-A6A6-926761FFA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700497</xdr:colOff>
      <xdr:row>23</xdr:row>
      <xdr:rowOff>93675</xdr:rowOff>
    </xdr:from>
    <xdr:to>
      <xdr:col>52</xdr:col>
      <xdr:colOff>278664</xdr:colOff>
      <xdr:row>46</xdr:row>
      <xdr:rowOff>122335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7D8A70-5C63-424D-A635-0B6B37CB9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584560</xdr:colOff>
      <xdr:row>8</xdr:row>
      <xdr:rowOff>39439</xdr:rowOff>
    </xdr:from>
    <xdr:to>
      <xdr:col>35</xdr:col>
      <xdr:colOff>1068789</xdr:colOff>
      <xdr:row>22</xdr:row>
      <xdr:rowOff>88638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AF5CDE-B7D9-4F92-B9F3-C1EAB84F5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255973</xdr:colOff>
      <xdr:row>7</xdr:row>
      <xdr:rowOff>30934</xdr:rowOff>
    </xdr:from>
    <xdr:to>
      <xdr:col>44</xdr:col>
      <xdr:colOff>342761</xdr:colOff>
      <xdr:row>21</xdr:row>
      <xdr:rowOff>80381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AB48F8-5559-4474-87CC-17A786639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915744</xdr:colOff>
      <xdr:row>5</xdr:row>
      <xdr:rowOff>63710</xdr:rowOff>
    </xdr:from>
    <xdr:to>
      <xdr:col>30</xdr:col>
      <xdr:colOff>80238</xdr:colOff>
      <xdr:row>20</xdr:row>
      <xdr:rowOff>120068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A72B9E-631E-4994-9BD2-84E18C762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338666</xdr:colOff>
      <xdr:row>61</xdr:row>
      <xdr:rowOff>80924</xdr:rowOff>
    </xdr:from>
    <xdr:to>
      <xdr:col>59</xdr:col>
      <xdr:colOff>1148291</xdr:colOff>
      <xdr:row>83</xdr:row>
      <xdr:rowOff>105832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6FB355-8E0F-3782-FAD7-FE3606AA3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52</xdr:col>
      <xdr:colOff>112239</xdr:colOff>
      <xdr:row>82</xdr:row>
      <xdr:rowOff>82241</xdr:rowOff>
    </xdr:from>
    <xdr:to>
      <xdr:col>59</xdr:col>
      <xdr:colOff>725991</xdr:colOff>
      <xdr:row>96</xdr:row>
      <xdr:rowOff>129013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12E6AE-FB3F-BC45-F312-2BDAF51CA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187039</xdr:colOff>
      <xdr:row>122</xdr:row>
      <xdr:rowOff>32653</xdr:rowOff>
    </xdr:from>
    <xdr:to>
      <xdr:col>60</xdr:col>
      <xdr:colOff>830031</xdr:colOff>
      <xdr:row>148</xdr:row>
      <xdr:rowOff>37625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EB30420-5F8B-1C2F-714B-750E52F72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48</xdr:col>
      <xdr:colOff>604023</xdr:colOff>
      <xdr:row>122</xdr:row>
      <xdr:rowOff>151007</xdr:rowOff>
    </xdr:from>
    <xdr:to>
      <xdr:col>68</xdr:col>
      <xdr:colOff>127773</xdr:colOff>
      <xdr:row>158</xdr:row>
      <xdr:rowOff>151007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9C0988B-F41B-F2CF-4994-96318F03B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504825</xdr:colOff>
      <xdr:row>0</xdr:row>
      <xdr:rowOff>19050</xdr:rowOff>
    </xdr:from>
    <xdr:to>
      <xdr:col>23</xdr:col>
      <xdr:colOff>558005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F0C35-9167-450F-95CA-CB8FE93D7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255588</xdr:colOff>
      <xdr:row>0</xdr:row>
      <xdr:rowOff>0</xdr:rowOff>
    </xdr:from>
    <xdr:to>
      <xdr:col>11</xdr:col>
      <xdr:colOff>249237</xdr:colOff>
      <xdr:row>21</xdr:row>
      <xdr:rowOff>146843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077E71-C0DF-42E8-8E37-AB76A06B1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700497</xdr:colOff>
      <xdr:row>23</xdr:row>
      <xdr:rowOff>93675</xdr:rowOff>
    </xdr:from>
    <xdr:to>
      <xdr:col>52</xdr:col>
      <xdr:colOff>278664</xdr:colOff>
      <xdr:row>46</xdr:row>
      <xdr:rowOff>122335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8F47DD-E7A6-4A9F-B414-45E8D5A01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584560</xdr:colOff>
      <xdr:row>8</xdr:row>
      <xdr:rowOff>39439</xdr:rowOff>
    </xdr:from>
    <xdr:to>
      <xdr:col>35</xdr:col>
      <xdr:colOff>1068789</xdr:colOff>
      <xdr:row>22</xdr:row>
      <xdr:rowOff>88638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E0C72A-A514-4FE3-9B0D-709A6092A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255973</xdr:colOff>
      <xdr:row>7</xdr:row>
      <xdr:rowOff>30934</xdr:rowOff>
    </xdr:from>
    <xdr:to>
      <xdr:col>44</xdr:col>
      <xdr:colOff>342761</xdr:colOff>
      <xdr:row>21</xdr:row>
      <xdr:rowOff>80381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3DAB97-2210-4B9C-A604-6F0A7BD33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915744</xdr:colOff>
      <xdr:row>5</xdr:row>
      <xdr:rowOff>63710</xdr:rowOff>
    </xdr:from>
    <xdr:to>
      <xdr:col>30</xdr:col>
      <xdr:colOff>80238</xdr:colOff>
      <xdr:row>20</xdr:row>
      <xdr:rowOff>120068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369AD6-2C30-4A92-874F-86D0298BE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4</xdr:row>
      <xdr:rowOff>38099</xdr:rowOff>
    </xdr:from>
    <xdr:to>
      <xdr:col>17</xdr:col>
      <xdr:colOff>114300</xdr:colOff>
      <xdr:row>19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C12136-78AA-0BEB-FCE0-A4E989D5E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ABFE-CC8C-45D0-9C5B-FFA130E6B88B}">
  <dimension ref="A23:AP128"/>
  <sheetViews>
    <sheetView tabSelected="1" zoomScale="44" zoomScaleNormal="80" workbookViewId="0">
      <selection activeCell="X26" sqref="X26:X125"/>
    </sheetView>
  </sheetViews>
  <sheetFormatPr defaultRowHeight="14.25" x14ac:dyDescent="0.45"/>
  <cols>
    <col min="7" max="7" width="12" bestFit="1" customWidth="1"/>
    <col min="11" max="11" width="12" bestFit="1" customWidth="1"/>
    <col min="23" max="23" width="15.53125" bestFit="1" customWidth="1"/>
    <col min="24" max="24" width="20.33203125" bestFit="1" customWidth="1"/>
    <col min="25" max="25" width="19.796875" bestFit="1" customWidth="1"/>
    <col min="26" max="26" width="11.19921875" bestFit="1" customWidth="1"/>
    <col min="28" max="28" width="12" bestFit="1" customWidth="1"/>
    <col min="29" max="29" width="11.06640625" bestFit="1" customWidth="1"/>
    <col min="30" max="30" width="14.53125" bestFit="1" customWidth="1"/>
    <col min="31" max="31" width="19.265625" bestFit="1" customWidth="1"/>
    <col min="32" max="32" width="19.59765625" bestFit="1" customWidth="1"/>
    <col min="33" max="33" width="13.3984375" bestFit="1" customWidth="1"/>
    <col min="34" max="34" width="4.53125" customWidth="1"/>
    <col min="35" max="35" width="13" bestFit="1" customWidth="1"/>
    <col min="36" max="36" width="15.46484375" customWidth="1"/>
    <col min="37" max="37" width="13.3984375" bestFit="1" customWidth="1"/>
    <col min="39" max="39" width="11.265625" bestFit="1" customWidth="1"/>
    <col min="41" max="41" width="9.1328125" bestFit="1" customWidth="1"/>
    <col min="42" max="42" width="13.1328125" bestFit="1" customWidth="1"/>
    <col min="43" max="43" width="10" bestFit="1" customWidth="1"/>
  </cols>
  <sheetData>
    <row r="23" spans="1:42" ht="14.65" thickBot="1" x14ac:dyDescent="0.5">
      <c r="AB23" t="s">
        <v>32</v>
      </c>
      <c r="AN23" t="s">
        <v>40</v>
      </c>
    </row>
    <row r="24" spans="1:42" x14ac:dyDescent="0.45">
      <c r="A24" s="6" t="s">
        <v>0</v>
      </c>
      <c r="B24" s="7"/>
      <c r="C24" s="7"/>
      <c r="D24" s="8"/>
      <c r="F24" s="6" t="s">
        <v>1</v>
      </c>
      <c r="G24" s="8" t="s">
        <v>2</v>
      </c>
      <c r="H24" s="6"/>
      <c r="I24" s="7"/>
      <c r="J24" s="8"/>
      <c r="K24" s="12" t="s">
        <v>3</v>
      </c>
      <c r="L24" s="1" t="s">
        <v>4</v>
      </c>
      <c r="M24" s="1" t="s">
        <v>5</v>
      </c>
      <c r="N24" s="6"/>
      <c r="O24" s="7"/>
      <c r="P24" s="7"/>
      <c r="Q24" s="7"/>
      <c r="R24" s="7"/>
      <c r="S24" s="8"/>
      <c r="T24" s="6"/>
      <c r="U24" s="8"/>
      <c r="V24" s="1"/>
      <c r="W24" s="12"/>
      <c r="X24" s="6" t="s">
        <v>6</v>
      </c>
      <c r="Y24" s="8" t="s">
        <v>7</v>
      </c>
      <c r="Z24" s="12"/>
      <c r="AA24" s="15"/>
      <c r="AB24" s="16" t="s">
        <v>42</v>
      </c>
      <c r="AD24" s="6"/>
      <c r="AE24" s="7"/>
      <c r="AF24" s="16"/>
      <c r="AI24" s="20" t="s">
        <v>43</v>
      </c>
      <c r="AJ24" s="21"/>
      <c r="AO24" s="6" t="s">
        <v>45</v>
      </c>
      <c r="AP24" s="8" t="s">
        <v>46</v>
      </c>
    </row>
    <row r="25" spans="1:42" ht="14.65" thickBot="1" x14ac:dyDescent="0.5">
      <c r="A25" s="9" t="s">
        <v>8</v>
      </c>
      <c r="B25" s="10" t="s">
        <v>9</v>
      </c>
      <c r="C25" s="10" t="s">
        <v>10</v>
      </c>
      <c r="D25" s="11" t="s">
        <v>11</v>
      </c>
      <c r="F25" s="9" t="s">
        <v>12</v>
      </c>
      <c r="G25" s="11" t="s">
        <v>13</v>
      </c>
      <c r="H25" s="9" t="s">
        <v>14</v>
      </c>
      <c r="I25" s="10" t="s">
        <v>15</v>
      </c>
      <c r="J25" s="11" t="s">
        <v>16</v>
      </c>
      <c r="K25" s="14" t="s">
        <v>17</v>
      </c>
      <c r="L25" s="1" t="s">
        <v>18</v>
      </c>
      <c r="M25" s="1" t="s">
        <v>19</v>
      </c>
      <c r="N25" s="9" t="s">
        <v>20</v>
      </c>
      <c r="O25" s="10" t="s">
        <v>21</v>
      </c>
      <c r="P25" s="10" t="s">
        <v>22</v>
      </c>
      <c r="Q25" s="10" t="s">
        <v>23</v>
      </c>
      <c r="R25" s="10" t="s">
        <v>24</v>
      </c>
      <c r="S25" s="11" t="s">
        <v>25</v>
      </c>
      <c r="T25" s="9" t="s">
        <v>26</v>
      </c>
      <c r="U25" s="11" t="s">
        <v>27</v>
      </c>
      <c r="V25" s="1" t="str">
        <f>C25</f>
        <v>Mach</v>
      </c>
      <c r="W25" s="14" t="s">
        <v>47</v>
      </c>
      <c r="X25" s="9" t="s">
        <v>48</v>
      </c>
      <c r="Y25" s="11" t="s">
        <v>49</v>
      </c>
      <c r="Z25" s="14" t="s">
        <v>31</v>
      </c>
      <c r="AA25" s="9" t="s">
        <v>39</v>
      </c>
      <c r="AB25" s="11" t="s">
        <v>44</v>
      </c>
      <c r="AD25" s="9" t="s">
        <v>33</v>
      </c>
      <c r="AE25" s="10" t="s">
        <v>34</v>
      </c>
      <c r="AF25" s="11" t="s">
        <v>35</v>
      </c>
      <c r="AI25" s="9" t="s">
        <v>36</v>
      </c>
      <c r="AJ25" s="11" t="s">
        <v>37</v>
      </c>
      <c r="AO25" s="9" t="s">
        <v>41</v>
      </c>
      <c r="AP25" s="11" t="s">
        <v>38</v>
      </c>
    </row>
    <row r="26" spans="1:42" x14ac:dyDescent="0.45">
      <c r="A26" s="2">
        <v>0.70099999999999996</v>
      </c>
      <c r="B26">
        <v>55000</v>
      </c>
      <c r="C26">
        <v>0.1</v>
      </c>
      <c r="D26" s="3">
        <v>1</v>
      </c>
      <c r="F26" s="2">
        <v>389.97</v>
      </c>
      <c r="G26" s="3">
        <v>2.8650000000000003E-4</v>
      </c>
      <c r="H26">
        <v>1.7591192124955999E-2</v>
      </c>
      <c r="I26">
        <v>0.31350851536555102</v>
      </c>
      <c r="J26">
        <v>-1.0693831438342001E-2</v>
      </c>
      <c r="K26" s="13">
        <v>968.07579999999996</v>
      </c>
      <c r="L26">
        <f>C26*K26</f>
        <v>96.807580000000002</v>
      </c>
      <c r="M26">
        <f>0.5*G26*L26^2</f>
        <v>1.3424971058866295</v>
      </c>
      <c r="N26" s="2">
        <f>F26/518.69</f>
        <v>0.75183635697622853</v>
      </c>
      <c r="O26">
        <f>N26 * (1 + (1.4 - 1)/2 * C26^2)</f>
        <v>0.75334002969018099</v>
      </c>
      <c r="P26">
        <f>G26*1716*F26/2116.2</f>
        <v>9.059753850297704E-2</v>
      </c>
      <c r="Q26">
        <f t="shared" ref="Q26:Q89" si="0">P26*(1 + (1.4 - 1)/2 *C26^2)^(1.4/0.4)</f>
        <v>9.1233308315274889E-2</v>
      </c>
      <c r="R26">
        <f>Q26*(1-0.2 *C26^1)</f>
        <v>8.9408642148969389E-2</v>
      </c>
      <c r="S26" s="3">
        <f>Q26*(1-0.1 * C26^0.5)</f>
        <v>8.8348257787788417E-2</v>
      </c>
      <c r="T26" s="2">
        <f>A26 *1/M26 * 76</f>
        <v>39.684256872058405</v>
      </c>
      <c r="U26" s="3">
        <f>H26+I26*T26^2 + J26 * T26</f>
        <v>493.31904111207291</v>
      </c>
      <c r="V26">
        <v>0.1</v>
      </c>
      <c r="W26" s="13">
        <f>(M26*U26*2713/1000)*1.05</f>
        <v>1886.6021699997048</v>
      </c>
      <c r="X26" s="2">
        <f>(32000 * 4)*R26/1000</f>
        <v>11.444306195068082</v>
      </c>
      <c r="Y26" s="3">
        <f>(38000 * 4)*S26/1000</f>
        <v>13.428935183743839</v>
      </c>
      <c r="Z26" s="13">
        <f>T26/U26</f>
        <v>8.0443391730024225E-2</v>
      </c>
      <c r="AA26" s="2">
        <f>1/Z26</f>
        <v>12.431101902765318</v>
      </c>
      <c r="AB26" s="3">
        <f>ATAN(AA26)</f>
        <v>1.4905257845701303</v>
      </c>
      <c r="AC26">
        <f>W26/L26</f>
        <v>19.488165802716118</v>
      </c>
      <c r="AD26" s="2">
        <f>W26*L26*1000</f>
        <v>182637390.50042003</v>
      </c>
      <c r="AE26">
        <f>X26*L26*1000</f>
        <v>1107895.5875235491</v>
      </c>
      <c r="AF26" s="3">
        <f>Y26*L26*1000</f>
        <v>1300022.7171150963</v>
      </c>
      <c r="AG26">
        <f>L26*(X26*1000 - W26*1000)</f>
        <v>-181529494.91289645</v>
      </c>
      <c r="AI26" s="2">
        <f>L26*(X26*1000 - W26*1000)/(A26*31377)</f>
        <v>-8253.1124710498752</v>
      </c>
      <c r="AJ26" s="2">
        <f>L26*(Y26*1000-W26*1000)/(A26*31377)</f>
        <v>-8244.3775444748844</v>
      </c>
      <c r="AK26">
        <f>L26*(Y26*1000-W26*1000)</f>
        <v>-181337367.7833049</v>
      </c>
      <c r="AO26" s="2">
        <f>AD26/(A26*206225)</f>
        <v>1263.3694275685</v>
      </c>
      <c r="AP26" s="3">
        <f>L26*SIN(AB26)</f>
        <v>96.495864386726112</v>
      </c>
    </row>
    <row r="27" spans="1:42" x14ac:dyDescent="0.45">
      <c r="A27" s="2">
        <v>0.70099999999999996</v>
      </c>
      <c r="B27">
        <f>B26</f>
        <v>55000</v>
      </c>
      <c r="C27">
        <v>0.12929292929292899</v>
      </c>
      <c r="D27" s="3">
        <f t="shared" ref="D27:D90" si="1">D26</f>
        <v>1</v>
      </c>
      <c r="F27" s="2">
        <v>389.97</v>
      </c>
      <c r="G27" s="3">
        <v>2.8650000000000003E-4</v>
      </c>
      <c r="H27">
        <v>1.7591192124955999E-2</v>
      </c>
      <c r="I27">
        <v>0.31350851536555102</v>
      </c>
      <c r="J27">
        <v>-1.0693831438342001E-2</v>
      </c>
      <c r="K27" s="13">
        <v>968.07579999999996</v>
      </c>
      <c r="L27">
        <f t="shared" ref="L27:L90" si="2">C27*K27</f>
        <v>125.16535595959566</v>
      </c>
      <c r="M27">
        <f t="shared" ref="M27:M90" si="3">0.5*G27*L27^2</f>
        <v>2.2442069771295206</v>
      </c>
      <c r="N27" s="2">
        <f t="shared" ref="N27:N90" si="4">F27/518.69</f>
        <v>0.75183635697622853</v>
      </c>
      <c r="O27">
        <f t="shared" ref="O27:O90" si="5">N27 * (1 + (1.4 - 1)/2 * C27^2)</f>
        <v>0.7543499957626173</v>
      </c>
      <c r="P27">
        <f t="shared" ref="P27:P90" si="6">G27*1716*F27/2116.2</f>
        <v>9.059753850297704E-2</v>
      </c>
      <c r="Q27">
        <f t="shared" si="0"/>
        <v>9.166211829347945E-2</v>
      </c>
      <c r="R27">
        <f t="shared" ref="R27:R63" si="7">Q27*(1-0.3 *C27^1)</f>
        <v>8.8106739159671765E-2</v>
      </c>
      <c r="S27" s="3">
        <f t="shared" ref="S27:S63" si="8">Q27*(1-0.1 * C27^0.5)</f>
        <v>8.8366193624329945E-2</v>
      </c>
      <c r="T27" s="2">
        <f t="shared" ref="T27:T90" si="9">A27 *1/M27 * 76</f>
        <v>23.73934335956093</v>
      </c>
      <c r="U27" s="3">
        <f t="shared" ref="U27:U90" si="10">H27+I27*T27^2 + J27 * T27</f>
        <v>176.44346420010373</v>
      </c>
      <c r="V27">
        <v>0.12929292929292899</v>
      </c>
      <c r="W27" s="13">
        <f t="shared" ref="W27:W90" si="11">(M27*U27*2713/1000)*1.05</f>
        <v>1127.9960451341844</v>
      </c>
      <c r="X27" s="2">
        <f t="shared" ref="X27:X90" si="12">(32000 * 4)*R27/1000</f>
        <v>11.277662612437986</v>
      </c>
      <c r="Y27" s="3">
        <f t="shared" ref="Y27:Y90" si="13">(38000 * 4)*S27/1000</f>
        <v>13.431661430898151</v>
      </c>
      <c r="Z27" s="13">
        <f t="shared" ref="Z27:Z90" si="14">T27/U27</f>
        <v>0.13454362544502213</v>
      </c>
      <c r="AA27" s="2">
        <f t="shared" ref="AA27:AA90" si="15">1/Z27</f>
        <v>7.4325334752379248</v>
      </c>
      <c r="AB27" s="3">
        <f t="shared" ref="AB27:AB90" si="16">ATAN(AA27)</f>
        <v>1.4370558319346787</v>
      </c>
      <c r="AC27">
        <f t="shared" ref="AC27:AC90" si="17">W27/L27</f>
        <v>9.0120467959066115</v>
      </c>
      <c r="AD27" s="2">
        <f t="shared" ref="AD27:AD90" si="18">W27*L27*1000</f>
        <v>141186026.51023632</v>
      </c>
      <c r="AE27">
        <f t="shared" ref="AE27:AE90" si="19">X27*L27*1000</f>
        <v>1411572.655278024</v>
      </c>
      <c r="AF27" s="3">
        <f t="shared" ref="AF27:AF90" si="20">Y27*L27*1000</f>
        <v>1681178.6841271389</v>
      </c>
      <c r="AG27">
        <f t="shared" ref="AG27:AG90" si="21">L27*(X27*1000 - W27*1000)</f>
        <v>-139774453.8549583</v>
      </c>
      <c r="AI27" s="2">
        <f t="shared" ref="AI27:AI90" si="22">L27*(X27*1000 - W27*1000)/(A27*31377)</f>
        <v>-6354.7485150997782</v>
      </c>
      <c r="AJ27" s="2">
        <f t="shared" ref="AJ27:AJ90" si="23">L27*(Y27*1000-W27*1000)/(A27*31377)</f>
        <v>-6342.4910641547822</v>
      </c>
      <c r="AK27">
        <f t="shared" ref="AK27:AK90" si="24">L27*(Y27*1000-W27*1000)</f>
        <v>-139504847.8261092</v>
      </c>
      <c r="AO27" s="2">
        <f t="shared" ref="AO27:AO90" si="25">AD27/(A27*206225)</f>
        <v>976.63522789161902</v>
      </c>
      <c r="AP27" s="3">
        <f t="shared" ref="AP27:AP90" si="26">L27*SIN(AB27)</f>
        <v>124.0476371397633</v>
      </c>
    </row>
    <row r="28" spans="1:42" x14ac:dyDescent="0.45">
      <c r="A28" s="2">
        <v>0.70099999999999996</v>
      </c>
      <c r="B28">
        <f>B27</f>
        <v>55000</v>
      </c>
      <c r="C28">
        <v>0.158585858585859</v>
      </c>
      <c r="D28" s="3">
        <f t="shared" si="1"/>
        <v>1</v>
      </c>
      <c r="F28" s="2">
        <v>389.97</v>
      </c>
      <c r="G28" s="3">
        <v>2.8650000000000003E-4</v>
      </c>
      <c r="H28">
        <v>1.7591192124955999E-2</v>
      </c>
      <c r="I28">
        <v>0.31350851536555102</v>
      </c>
      <c r="J28">
        <v>-1.0693831438342001E-2</v>
      </c>
      <c r="K28" s="13">
        <v>968.07579999999996</v>
      </c>
      <c r="L28">
        <f t="shared" si="2"/>
        <v>153.52313191919231</v>
      </c>
      <c r="M28">
        <f t="shared" si="3"/>
        <v>3.376309678910284</v>
      </c>
      <c r="N28" s="2">
        <f t="shared" si="4"/>
        <v>0.75183635697622853</v>
      </c>
      <c r="O28">
        <f t="shared" si="5"/>
        <v>0.75561801484034596</v>
      </c>
      <c r="P28">
        <f t="shared" si="6"/>
        <v>9.059753850297704E-2</v>
      </c>
      <c r="Q28">
        <f t="shared" si="0"/>
        <v>9.2202528033125092E-2</v>
      </c>
      <c r="R28">
        <f t="shared" si="7"/>
        <v>8.7815922911549132E-2</v>
      </c>
      <c r="S28" s="3">
        <f t="shared" si="8"/>
        <v>8.8530761511443026E-2</v>
      </c>
      <c r="T28" s="2">
        <f t="shared" si="9"/>
        <v>15.779358254007972</v>
      </c>
      <c r="U28" s="3">
        <f t="shared" si="10"/>
        <v>77.908753675601488</v>
      </c>
      <c r="V28">
        <v>0.158585858585859</v>
      </c>
      <c r="W28" s="13">
        <f t="shared" si="11"/>
        <v>749.32051594750169</v>
      </c>
      <c r="X28" s="2">
        <f t="shared" si="12"/>
        <v>11.240438132678289</v>
      </c>
      <c r="Y28" s="3">
        <f t="shared" si="13"/>
        <v>13.45667574973934</v>
      </c>
      <c r="Z28" s="13">
        <f t="shared" si="14"/>
        <v>0.20253639686896388</v>
      </c>
      <c r="AA28" s="2">
        <f t="shared" si="15"/>
        <v>4.937384171236026</v>
      </c>
      <c r="AB28" s="3">
        <f t="shared" si="16"/>
        <v>1.3709631176412858</v>
      </c>
      <c r="AC28">
        <f t="shared" si="17"/>
        <v>4.8808313547297253</v>
      </c>
      <c r="AD28" s="2">
        <f t="shared" si="18"/>
        <v>115038032.41956554</v>
      </c>
      <c r="AE28">
        <f t="shared" si="19"/>
        <v>1725667.2662726888</v>
      </c>
      <c r="AF28" s="3">
        <f t="shared" si="20"/>
        <v>2065911.0063210288</v>
      </c>
      <c r="AG28">
        <f t="shared" si="21"/>
        <v>-113312365.15329285</v>
      </c>
      <c r="AI28" s="2">
        <f t="shared" si="22"/>
        <v>-5151.6680218800093</v>
      </c>
      <c r="AJ28" s="2">
        <f t="shared" si="23"/>
        <v>-5136.1990764310231</v>
      </c>
      <c r="AK28">
        <f t="shared" si="24"/>
        <v>-112972121.41324452</v>
      </c>
      <c r="AO28" s="2">
        <f t="shared" si="25"/>
        <v>795.76001807898604</v>
      </c>
      <c r="AP28" s="3">
        <f t="shared" si="26"/>
        <v>150.46797560378127</v>
      </c>
    </row>
    <row r="29" spans="1:42" x14ac:dyDescent="0.45">
      <c r="A29" s="2">
        <v>0.70099999999999996</v>
      </c>
      <c r="B29">
        <f>B28</f>
        <v>55000</v>
      </c>
      <c r="C29">
        <v>0.18787878787878801</v>
      </c>
      <c r="D29" s="3">
        <f t="shared" si="1"/>
        <v>1</v>
      </c>
      <c r="F29" s="2">
        <v>389.97</v>
      </c>
      <c r="G29" s="3">
        <v>2.8650000000000003E-4</v>
      </c>
      <c r="H29">
        <v>1.7591192124955999E-2</v>
      </c>
      <c r="I29">
        <v>0.31350851536555102</v>
      </c>
      <c r="J29">
        <v>-1.0693831438342001E-2</v>
      </c>
      <c r="K29" s="13">
        <v>968.07579999999996</v>
      </c>
      <c r="L29">
        <f t="shared" si="2"/>
        <v>181.88090787878801</v>
      </c>
      <c r="M29">
        <f t="shared" si="3"/>
        <v>4.7388052112288435</v>
      </c>
      <c r="N29" s="2">
        <f t="shared" si="4"/>
        <v>0.75183635697622853</v>
      </c>
      <c r="O29">
        <f t="shared" si="5"/>
        <v>0.75714408692336643</v>
      </c>
      <c r="P29">
        <f t="shared" si="6"/>
        <v>9.059753850297704E-2</v>
      </c>
      <c r="Q29">
        <f t="shared" si="0"/>
        <v>9.2855928943886085E-2</v>
      </c>
      <c r="R29">
        <f t="shared" si="7"/>
        <v>8.7622231130685235E-2</v>
      </c>
      <c r="S29" s="3">
        <f t="shared" si="8"/>
        <v>8.8831089931551338E-2</v>
      </c>
      <c r="T29" s="2">
        <f t="shared" si="9"/>
        <v>11.242496288676261</v>
      </c>
      <c r="U29" s="3">
        <f t="shared" si="10"/>
        <v>39.522874218702661</v>
      </c>
      <c r="V29">
        <v>0.18787878787878801</v>
      </c>
      <c r="W29" s="13">
        <f t="shared" si="11"/>
        <v>533.52708346132238</v>
      </c>
      <c r="X29" s="2">
        <f t="shared" si="12"/>
        <v>11.21564558472771</v>
      </c>
      <c r="Y29" s="3">
        <f t="shared" si="13"/>
        <v>13.502325669595802</v>
      </c>
      <c r="Z29" s="13">
        <f t="shared" si="14"/>
        <v>0.28445543273156454</v>
      </c>
      <c r="AA29" s="2">
        <f t="shared" si="15"/>
        <v>3.5154891942024604</v>
      </c>
      <c r="AB29" s="3">
        <f t="shared" si="16"/>
        <v>1.2936608996131382</v>
      </c>
      <c r="AC29">
        <f t="shared" si="17"/>
        <v>2.9333869600919522</v>
      </c>
      <c r="AD29" s="2">
        <f t="shared" si="18"/>
        <v>97038390.317867219</v>
      </c>
      <c r="AE29">
        <f t="shared" si="19"/>
        <v>2039911.801396996</v>
      </c>
      <c r="AF29" s="3">
        <f t="shared" si="20"/>
        <v>2455815.2512611486</v>
      </c>
      <c r="AG29">
        <f t="shared" si="21"/>
        <v>-94998478.516470224</v>
      </c>
      <c r="AI29" s="2">
        <f t="shared" si="22"/>
        <v>-4319.039879173617</v>
      </c>
      <c r="AJ29" s="2">
        <f t="shared" si="23"/>
        <v>-4300.1311175397368</v>
      </c>
      <c r="AK29">
        <f t="shared" si="24"/>
        <v>-94582575.06660606</v>
      </c>
      <c r="AO29" s="2">
        <f t="shared" si="25"/>
        <v>671.24993021497778</v>
      </c>
      <c r="AP29" s="3">
        <f t="shared" si="26"/>
        <v>174.94090263193056</v>
      </c>
    </row>
    <row r="30" spans="1:42" x14ac:dyDescent="0.45">
      <c r="A30" s="2">
        <v>0.70099999999999996</v>
      </c>
      <c r="B30">
        <f>B29</f>
        <v>55000</v>
      </c>
      <c r="C30">
        <v>0.21717171717171699</v>
      </c>
      <c r="D30" s="3">
        <f t="shared" si="1"/>
        <v>1</v>
      </c>
      <c r="F30" s="2">
        <v>389.97</v>
      </c>
      <c r="G30" s="3">
        <v>2.8650000000000003E-4</v>
      </c>
      <c r="H30">
        <v>1.7591192124955999E-2</v>
      </c>
      <c r="I30">
        <v>0.31350851536555102</v>
      </c>
      <c r="J30">
        <v>-1.0693831438342001E-2</v>
      </c>
      <c r="K30" s="13">
        <v>968.07579999999996</v>
      </c>
      <c r="L30">
        <f t="shared" si="2"/>
        <v>210.23868383838365</v>
      </c>
      <c r="M30">
        <f t="shared" si="3"/>
        <v>6.3316935740852296</v>
      </c>
      <c r="N30" s="2">
        <f t="shared" si="4"/>
        <v>0.75183635697622853</v>
      </c>
      <c r="O30">
        <f t="shared" si="5"/>
        <v>0.75892821201167926</v>
      </c>
      <c r="P30">
        <f t="shared" si="6"/>
        <v>9.059753850297704E-2</v>
      </c>
      <c r="Q30">
        <f t="shared" si="0"/>
        <v>9.362400332474935E-2</v>
      </c>
      <c r="R30">
        <f t="shared" si="7"/>
        <v>8.7524257653591439E-2</v>
      </c>
      <c r="S30" s="3">
        <f t="shared" si="8"/>
        <v>8.9260966885919876E-2</v>
      </c>
      <c r="T30" s="2">
        <f t="shared" si="9"/>
        <v>8.4141785095304513</v>
      </c>
      <c r="U30" s="3">
        <f t="shared" si="10"/>
        <v>22.123512656649787</v>
      </c>
      <c r="V30">
        <v>0.21717171717171699</v>
      </c>
      <c r="W30" s="13">
        <f t="shared" si="11"/>
        <v>399.03690627531489</v>
      </c>
      <c r="X30" s="2">
        <f t="shared" si="12"/>
        <v>11.203104979659704</v>
      </c>
      <c r="Y30" s="3">
        <f t="shared" si="13"/>
        <v>13.567666966659822</v>
      </c>
      <c r="Z30" s="13">
        <f t="shared" si="14"/>
        <v>0.38032742088094024</v>
      </c>
      <c r="AA30" s="2">
        <f t="shared" si="15"/>
        <v>2.6293134417805901</v>
      </c>
      <c r="AB30" s="3">
        <f t="shared" si="16"/>
        <v>1.2073632409325534</v>
      </c>
      <c r="AC30">
        <f t="shared" si="17"/>
        <v>1.8980184759055365</v>
      </c>
      <c r="AD30" s="2">
        <f t="shared" si="18"/>
        <v>83892993.978262663</v>
      </c>
      <c r="AE30">
        <f t="shared" si="19"/>
        <v>2355326.045826898</v>
      </c>
      <c r="AF30" s="3">
        <f t="shared" si="20"/>
        <v>2852448.445828076</v>
      </c>
      <c r="AG30">
        <f t="shared" si="21"/>
        <v>-81537667.932435766</v>
      </c>
      <c r="AI30" s="2">
        <f t="shared" si="22"/>
        <v>-3707.0534702716304</v>
      </c>
      <c r="AJ30" s="2">
        <f t="shared" si="23"/>
        <v>-3684.4521454507981</v>
      </c>
      <c r="AK30">
        <f t="shared" si="24"/>
        <v>-81040545.532434583</v>
      </c>
      <c r="AO30" s="2">
        <f t="shared" si="25"/>
        <v>580.31843035493637</v>
      </c>
      <c r="AP30" s="3">
        <f t="shared" si="26"/>
        <v>196.50629731846468</v>
      </c>
    </row>
    <row r="31" spans="1:42" x14ac:dyDescent="0.45">
      <c r="A31" s="2">
        <v>0.70099999999999996</v>
      </c>
      <c r="B31">
        <f>B30</f>
        <v>55000</v>
      </c>
      <c r="C31">
        <v>0.246464646464646</v>
      </c>
      <c r="D31" s="3">
        <f t="shared" si="1"/>
        <v>1</v>
      </c>
      <c r="F31" s="2">
        <v>389.97</v>
      </c>
      <c r="G31" s="3">
        <v>2.8650000000000003E-4</v>
      </c>
      <c r="H31">
        <v>1.7591192124955999E-2</v>
      </c>
      <c r="I31">
        <v>0.31350851536555102</v>
      </c>
      <c r="J31">
        <v>-1.0693831438342001E-2</v>
      </c>
      <c r="K31" s="13">
        <v>968.07579999999996</v>
      </c>
      <c r="L31">
        <f t="shared" si="2"/>
        <v>238.59645979797935</v>
      </c>
      <c r="M31">
        <f t="shared" si="3"/>
        <v>8.1549747674794482</v>
      </c>
      <c r="N31" s="2">
        <f t="shared" si="4"/>
        <v>0.75183635697622853</v>
      </c>
      <c r="O31">
        <f t="shared" si="5"/>
        <v>0.760970390105284</v>
      </c>
      <c r="P31">
        <f t="shared" si="6"/>
        <v>9.059753850297704E-2</v>
      </c>
      <c r="Q31">
        <f t="shared" si="0"/>
        <v>9.4508728659962904E-2</v>
      </c>
      <c r="R31">
        <f t="shared" si="7"/>
        <v>8.7520810540862637E-2</v>
      </c>
      <c r="S31" s="3">
        <f t="shared" si="8"/>
        <v>8.9816823370296145E-2</v>
      </c>
      <c r="T31" s="2">
        <f t="shared" si="9"/>
        <v>6.5329447998361641</v>
      </c>
      <c r="U31" s="3">
        <f t="shared" si="10"/>
        <v>13.328074204098408</v>
      </c>
      <c r="V31">
        <v>0.246464646464646</v>
      </c>
      <c r="W31" s="13">
        <f t="shared" si="11"/>
        <v>309.62007852859603</v>
      </c>
      <c r="X31" s="2">
        <f t="shared" si="12"/>
        <v>11.202663749230418</v>
      </c>
      <c r="Y31" s="3">
        <f t="shared" si="13"/>
        <v>13.652157152285014</v>
      </c>
      <c r="Z31" s="13">
        <f t="shared" si="14"/>
        <v>0.49016419775238579</v>
      </c>
      <c r="AA31" s="2">
        <f t="shared" si="15"/>
        <v>2.0401326832629376</v>
      </c>
      <c r="AB31" s="3">
        <f t="shared" si="16"/>
        <v>1.1150482753100879</v>
      </c>
      <c r="AC31">
        <f t="shared" si="17"/>
        <v>1.297672558891916</v>
      </c>
      <c r="AD31" s="2">
        <f t="shared" si="18"/>
        <v>73874254.619295374</v>
      </c>
      <c r="AE31">
        <f t="shared" si="19"/>
        <v>2672915.9108735356</v>
      </c>
      <c r="AF31" s="3">
        <f t="shared" si="20"/>
        <v>3257356.3651408674</v>
      </c>
      <c r="AG31">
        <f t="shared" si="21"/>
        <v>-71201338.708421826</v>
      </c>
      <c r="AI31" s="2">
        <f t="shared" si="22"/>
        <v>-3237.1194374329466</v>
      </c>
      <c r="AJ31" s="2">
        <f t="shared" si="23"/>
        <v>-3210.5482578898418</v>
      </c>
      <c r="AK31">
        <f t="shared" si="24"/>
        <v>-70616898.254154503</v>
      </c>
      <c r="AO31" s="2">
        <f t="shared" si="25"/>
        <v>511.01515694407698</v>
      </c>
      <c r="AP31" s="3">
        <f t="shared" si="26"/>
        <v>214.24340503567328</v>
      </c>
    </row>
    <row r="32" spans="1:42" x14ac:dyDescent="0.45">
      <c r="A32" s="2">
        <v>0.70099999999999996</v>
      </c>
      <c r="B32">
        <f t="shared" ref="B32:B95" si="27">B31</f>
        <v>55000</v>
      </c>
      <c r="C32">
        <v>0.27575757575757598</v>
      </c>
      <c r="D32" s="3">
        <f t="shared" si="1"/>
        <v>1</v>
      </c>
      <c r="F32" s="2">
        <v>389.97</v>
      </c>
      <c r="G32" s="3">
        <v>2.8650000000000003E-4</v>
      </c>
      <c r="H32">
        <v>1.7591192124955999E-2</v>
      </c>
      <c r="I32">
        <v>0.31350851536555102</v>
      </c>
      <c r="J32">
        <v>-1.0693831438342001E-2</v>
      </c>
      <c r="K32" s="13">
        <v>968.07579999999996</v>
      </c>
      <c r="L32">
        <f t="shared" si="2"/>
        <v>266.95423575757599</v>
      </c>
      <c r="M32">
        <f t="shared" si="3"/>
        <v>10.208648791411569</v>
      </c>
      <c r="N32" s="2">
        <f t="shared" si="4"/>
        <v>0.75183635697622853</v>
      </c>
      <c r="O32">
        <f t="shared" si="5"/>
        <v>0.76327062120418099</v>
      </c>
      <c r="P32">
        <f t="shared" si="6"/>
        <v>9.059753850297704E-2</v>
      </c>
      <c r="Q32">
        <f t="shared" si="0"/>
        <v>9.5512382654135516E-2</v>
      </c>
      <c r="R32">
        <f t="shared" si="7"/>
        <v>8.7610903725475212E-2</v>
      </c>
      <c r="S32" s="3">
        <f t="shared" si="8"/>
        <v>9.0496776745348451E-2</v>
      </c>
      <c r="T32" s="2">
        <f t="shared" si="9"/>
        <v>5.2187122006607325</v>
      </c>
      <c r="U32" s="3">
        <f t="shared" si="10"/>
        <v>8.5001741090882206</v>
      </c>
      <c r="V32">
        <v>0.27575757575757598</v>
      </c>
      <c r="W32" s="13">
        <f t="shared" si="11"/>
        <v>247.19243597036797</v>
      </c>
      <c r="X32" s="2">
        <f t="shared" si="12"/>
        <v>11.214195676860827</v>
      </c>
      <c r="Y32" s="3">
        <f t="shared" si="13"/>
        <v>13.755510065292965</v>
      </c>
      <c r="Z32" s="13">
        <f t="shared" si="14"/>
        <v>0.61395356538414747</v>
      </c>
      <c r="AA32" s="2">
        <f t="shared" si="15"/>
        <v>1.6287876744787781</v>
      </c>
      <c r="AB32" s="3">
        <f t="shared" si="16"/>
        <v>1.020179979211937</v>
      </c>
      <c r="AC32">
        <f t="shared" si="17"/>
        <v>0.92597308025052683</v>
      </c>
      <c r="AD32" s="2">
        <f t="shared" si="18"/>
        <v>65989067.829523116</v>
      </c>
      <c r="AE32">
        <f t="shared" si="19"/>
        <v>2993677.0365522946</v>
      </c>
      <c r="AF32" s="3">
        <f t="shared" si="20"/>
        <v>3672091.6769359279</v>
      </c>
      <c r="AG32">
        <f t="shared" si="21"/>
        <v>-62995390.792970821</v>
      </c>
      <c r="AI32" s="2">
        <f t="shared" si="22"/>
        <v>-2864.0417119080075</v>
      </c>
      <c r="AJ32" s="2">
        <f t="shared" si="23"/>
        <v>-2833.1980612286534</v>
      </c>
      <c r="AK32">
        <f t="shared" si="24"/>
        <v>-62316976.15258719</v>
      </c>
      <c r="AO32" s="2">
        <f t="shared" si="25"/>
        <v>456.47044463971253</v>
      </c>
      <c r="AP32" s="3">
        <f t="shared" si="26"/>
        <v>227.49898784998868</v>
      </c>
    </row>
    <row r="33" spans="1:42" x14ac:dyDescent="0.45">
      <c r="A33" s="2">
        <v>0.70099999999999996</v>
      </c>
      <c r="B33">
        <f t="shared" si="27"/>
        <v>55000</v>
      </c>
      <c r="C33">
        <v>0.30505050505050502</v>
      </c>
      <c r="D33" s="3">
        <f t="shared" si="1"/>
        <v>1</v>
      </c>
      <c r="F33" s="2">
        <v>389.97</v>
      </c>
      <c r="G33" s="3">
        <v>2.8650000000000003E-4</v>
      </c>
      <c r="H33">
        <v>1.7591192124955999E-2</v>
      </c>
      <c r="I33">
        <v>0.31350851536555102</v>
      </c>
      <c r="J33">
        <v>-1.0693831438342001E-2</v>
      </c>
      <c r="K33" s="13">
        <v>968.07579999999996</v>
      </c>
      <c r="L33">
        <f t="shared" si="2"/>
        <v>295.31201171717169</v>
      </c>
      <c r="M33">
        <f t="shared" si="3"/>
        <v>12.492715645881452</v>
      </c>
      <c r="N33" s="2">
        <f t="shared" si="4"/>
        <v>0.75183635697622853</v>
      </c>
      <c r="O33">
        <f t="shared" si="5"/>
        <v>0.76582890530837011</v>
      </c>
      <c r="P33">
        <f t="shared" si="6"/>
        <v>9.059753850297704E-2</v>
      </c>
      <c r="Q33">
        <f t="shared" si="0"/>
        <v>9.6637549012400403E-2</v>
      </c>
      <c r="R33">
        <f t="shared" si="7"/>
        <v>8.7793749072477695E-2</v>
      </c>
      <c r="S33" s="3">
        <f t="shared" si="8"/>
        <v>9.1300124071007335E-2</v>
      </c>
      <c r="T33" s="2">
        <f t="shared" si="9"/>
        <v>4.2645651682277599</v>
      </c>
      <c r="U33" s="3">
        <f t="shared" si="10"/>
        <v>5.6736143051088419</v>
      </c>
      <c r="V33">
        <v>0.30505050505050502</v>
      </c>
      <c r="W33" s="13">
        <f t="shared" si="11"/>
        <v>201.90903661690319</v>
      </c>
      <c r="X33" s="2">
        <f t="shared" si="12"/>
        <v>11.237599881277145</v>
      </c>
      <c r="Y33" s="3">
        <f t="shared" si="13"/>
        <v>13.877618858793115</v>
      </c>
      <c r="Z33" s="13">
        <f t="shared" si="14"/>
        <v>0.75164876195191932</v>
      </c>
      <c r="AA33" s="2">
        <f t="shared" si="15"/>
        <v>1.3304086304927181</v>
      </c>
      <c r="AB33" s="3">
        <f t="shared" si="16"/>
        <v>0.92624084518010918</v>
      </c>
      <c r="AC33">
        <f t="shared" si="17"/>
        <v>0.6837142703503607</v>
      </c>
      <c r="AD33" s="2">
        <f t="shared" si="18"/>
        <v>59626163.787213765</v>
      </c>
      <c r="AE33">
        <f t="shared" si="19"/>
        <v>3318598.2278126036</v>
      </c>
      <c r="AF33" s="3">
        <f t="shared" si="20"/>
        <v>4098227.5430343552</v>
      </c>
      <c r="AG33">
        <f t="shared" si="21"/>
        <v>-56307565.559401162</v>
      </c>
      <c r="AI33" s="2">
        <f t="shared" si="22"/>
        <v>-2559.9843802558689</v>
      </c>
      <c r="AJ33" s="2">
        <f t="shared" si="23"/>
        <v>-2524.5390746467715</v>
      </c>
      <c r="AK33">
        <f t="shared" si="24"/>
        <v>-55527936.244179413</v>
      </c>
      <c r="AO33" s="2">
        <f t="shared" si="25"/>
        <v>412.4559171895562</v>
      </c>
      <c r="AP33" s="3">
        <f t="shared" si="26"/>
        <v>236.06265671336652</v>
      </c>
    </row>
    <row r="34" spans="1:42" x14ac:dyDescent="0.45">
      <c r="A34" s="2">
        <v>0.70099999999999996</v>
      </c>
      <c r="B34">
        <f t="shared" si="27"/>
        <v>55000</v>
      </c>
      <c r="C34">
        <v>0.334343434343434</v>
      </c>
      <c r="D34" s="3">
        <f t="shared" si="1"/>
        <v>1</v>
      </c>
      <c r="F34" s="2">
        <v>389.97</v>
      </c>
      <c r="G34" s="3">
        <v>2.8650000000000003E-4</v>
      </c>
      <c r="H34">
        <v>1.7591192124955999E-2</v>
      </c>
      <c r="I34">
        <v>0.31350851536555102</v>
      </c>
      <c r="J34">
        <v>-1.0693831438342001E-2</v>
      </c>
      <c r="K34" s="13">
        <v>968.07579999999996</v>
      </c>
      <c r="L34">
        <f t="shared" si="2"/>
        <v>323.66978767676733</v>
      </c>
      <c r="M34">
        <f t="shared" si="3"/>
        <v>15.007175330889163</v>
      </c>
      <c r="N34" s="2">
        <f t="shared" si="4"/>
        <v>0.75183635697622853</v>
      </c>
      <c r="O34">
        <f t="shared" si="5"/>
        <v>0.76864524241785126</v>
      </c>
      <c r="P34">
        <f t="shared" si="6"/>
        <v>9.059753850297704E-2</v>
      </c>
      <c r="Q34">
        <f t="shared" si="0"/>
        <v>9.7887123972388787E-2</v>
      </c>
      <c r="R34">
        <f t="shared" si="7"/>
        <v>8.8068748810309794E-2</v>
      </c>
      <c r="S34" s="3">
        <f t="shared" si="8"/>
        <v>9.2227051809427585E-2</v>
      </c>
      <c r="T34" s="2">
        <f t="shared" si="9"/>
        <v>3.5500351548730413</v>
      </c>
      <c r="U34" s="3">
        <f t="shared" si="10"/>
        <v>3.9306970314599572</v>
      </c>
      <c r="V34">
        <v>0.334343434343434</v>
      </c>
      <c r="W34" s="13">
        <f t="shared" si="11"/>
        <v>168.03804495225961</v>
      </c>
      <c r="X34" s="2">
        <f t="shared" si="12"/>
        <v>11.272799847719654</v>
      </c>
      <c r="Y34" s="3">
        <f t="shared" si="13"/>
        <v>14.018511875032994</v>
      </c>
      <c r="Z34" s="13">
        <f t="shared" si="14"/>
        <v>0.903156647907425</v>
      </c>
      <c r="AA34" s="2">
        <f t="shared" si="15"/>
        <v>1.1072276357783082</v>
      </c>
      <c r="AB34" s="3">
        <f t="shared" si="16"/>
        <v>0.83623995550572361</v>
      </c>
      <c r="AC34">
        <f t="shared" si="17"/>
        <v>0.51916506065765622</v>
      </c>
      <c r="AD34" s="2">
        <f t="shared" si="18"/>
        <v>54388838.331316955</v>
      </c>
      <c r="AE34">
        <f t="shared" si="19"/>
        <v>3648664.7332341154</v>
      </c>
      <c r="AF34" s="3">
        <f t="shared" si="20"/>
        <v>4537368.7621361706</v>
      </c>
      <c r="AG34">
        <f t="shared" si="21"/>
        <v>-50740173.598082833</v>
      </c>
      <c r="AI34" s="2">
        <f t="shared" si="22"/>
        <v>-2306.8667695379713</v>
      </c>
      <c r="AJ34" s="2">
        <f t="shared" si="23"/>
        <v>-2266.4624577894965</v>
      </c>
      <c r="AK34">
        <f t="shared" si="24"/>
        <v>-49851469.569180779</v>
      </c>
      <c r="AO34" s="2">
        <f t="shared" si="25"/>
        <v>376.22742725615961</v>
      </c>
      <c r="AP34" s="3">
        <f t="shared" si="26"/>
        <v>240.20446789559429</v>
      </c>
    </row>
    <row r="35" spans="1:42" x14ac:dyDescent="0.45">
      <c r="A35" s="2">
        <v>0.70099999999999996</v>
      </c>
      <c r="B35">
        <f t="shared" si="27"/>
        <v>55000</v>
      </c>
      <c r="C35">
        <v>0.36363636363636398</v>
      </c>
      <c r="D35" s="3">
        <f t="shared" si="1"/>
        <v>1</v>
      </c>
      <c r="F35" s="2">
        <v>389.97</v>
      </c>
      <c r="G35" s="3">
        <v>2.8650000000000003E-4</v>
      </c>
      <c r="H35">
        <v>1.7591192124955999E-2</v>
      </c>
      <c r="I35">
        <v>0.31350851536555102</v>
      </c>
      <c r="J35">
        <v>-1.0693831438342001E-2</v>
      </c>
      <c r="K35" s="13">
        <v>968.07579999999996</v>
      </c>
      <c r="L35">
        <f t="shared" si="2"/>
        <v>352.02756363636394</v>
      </c>
      <c r="M35">
        <f t="shared" si="3"/>
        <v>17.7520278464348</v>
      </c>
      <c r="N35" s="2">
        <f t="shared" si="4"/>
        <v>0.75183635697622853</v>
      </c>
      <c r="O35">
        <f t="shared" si="5"/>
        <v>0.77171963253262477</v>
      </c>
      <c r="P35">
        <f t="shared" si="6"/>
        <v>9.059753850297704E-2</v>
      </c>
      <c r="Q35">
        <f t="shared" si="0"/>
        <v>9.9264323595578713E-2</v>
      </c>
      <c r="R35">
        <f t="shared" si="7"/>
        <v>8.8435488294242845E-2</v>
      </c>
      <c r="S35" s="3">
        <f t="shared" si="8"/>
        <v>9.3278459660397675E-2</v>
      </c>
      <c r="T35" s="2">
        <f t="shared" si="9"/>
        <v>3.0011219259494117</v>
      </c>
      <c r="U35" s="3">
        <f t="shared" si="10"/>
        <v>2.8091851330641608</v>
      </c>
      <c r="V35">
        <v>0.36363636363636398</v>
      </c>
      <c r="W35" s="13">
        <f t="shared" si="11"/>
        <v>142.05856542848935</v>
      </c>
      <c r="X35" s="2">
        <f t="shared" si="12"/>
        <v>11.319742501663084</v>
      </c>
      <c r="Y35" s="3">
        <f t="shared" si="13"/>
        <v>14.178325868380448</v>
      </c>
      <c r="Z35" s="13">
        <f t="shared" si="14"/>
        <v>1.0683247218654803</v>
      </c>
      <c r="AA35" s="2">
        <f t="shared" si="15"/>
        <v>0.93604498663461277</v>
      </c>
      <c r="AB35" s="3">
        <f t="shared" si="16"/>
        <v>0.7523763246956926</v>
      </c>
      <c r="AC35">
        <f t="shared" si="17"/>
        <v>0.40354387014771503</v>
      </c>
      <c r="AD35" s="2">
        <f t="shared" si="18"/>
        <v>50008530.681468099</v>
      </c>
      <c r="AE35">
        <f t="shared" si="19"/>
        <v>3984861.3738514548</v>
      </c>
      <c r="AF35" s="3">
        <f t="shared" si="20"/>
        <v>4991161.5118884025</v>
      </c>
      <c r="AG35">
        <f t="shared" si="21"/>
        <v>-46023669.307616651</v>
      </c>
      <c r="AI35" s="2">
        <f t="shared" si="22"/>
        <v>-2092.4341761013811</v>
      </c>
      <c r="AJ35" s="2">
        <f t="shared" si="23"/>
        <v>-2046.6834388846164</v>
      </c>
      <c r="AK35">
        <f t="shared" si="24"/>
        <v>-45017369.169579707</v>
      </c>
      <c r="AO35" s="2">
        <f t="shared" si="25"/>
        <v>345.92724199288659</v>
      </c>
      <c r="AP35" s="3">
        <f t="shared" si="26"/>
        <v>240.5670348917894</v>
      </c>
    </row>
    <row r="36" spans="1:42" x14ac:dyDescent="0.45">
      <c r="A36" s="2">
        <v>0.70099999999999996</v>
      </c>
      <c r="B36">
        <f t="shared" si="27"/>
        <v>55000</v>
      </c>
      <c r="C36">
        <v>0.39292929292929302</v>
      </c>
      <c r="D36" s="3">
        <f t="shared" si="1"/>
        <v>1</v>
      </c>
      <c r="F36" s="2">
        <v>389.97</v>
      </c>
      <c r="G36" s="3">
        <v>2.8650000000000003E-4</v>
      </c>
      <c r="H36">
        <v>1.7591192124955999E-2</v>
      </c>
      <c r="I36">
        <v>0.31350851536555102</v>
      </c>
      <c r="J36">
        <v>-1.0693831438342001E-2</v>
      </c>
      <c r="K36" s="13">
        <v>968.07579999999996</v>
      </c>
      <c r="L36">
        <f t="shared" si="2"/>
        <v>380.38533959595969</v>
      </c>
      <c r="M36">
        <f t="shared" si="3"/>
        <v>20.727273192518187</v>
      </c>
      <c r="N36" s="2">
        <f t="shared" si="4"/>
        <v>0.75183635697622853</v>
      </c>
      <c r="O36">
        <f t="shared" si="5"/>
        <v>0.77505207565269019</v>
      </c>
      <c r="P36">
        <f t="shared" si="6"/>
        <v>9.059753850297704E-2</v>
      </c>
      <c r="Q36">
        <f>P36*(1 + (1.4 - 1)/2 *C36^2)^(1.4/0.4)</f>
        <v>0.10077269182639222</v>
      </c>
      <c r="R36">
        <f t="shared" si="7"/>
        <v>8.889372906261446E-2</v>
      </c>
      <c r="S36" s="3">
        <f t="shared" si="8"/>
        <v>9.4455849118700974E-2</v>
      </c>
      <c r="T36" s="2">
        <f t="shared" si="9"/>
        <v>2.5703332756394968</v>
      </c>
      <c r="U36" s="3">
        <f t="shared" si="10"/>
        <v>2.0613339609149191</v>
      </c>
      <c r="V36">
        <v>0.39292929292929302</v>
      </c>
      <c r="W36" s="13">
        <f t="shared" si="11"/>
        <v>121.71094175096151</v>
      </c>
      <c r="X36" s="2">
        <f t="shared" si="12"/>
        <v>11.378397320014651</v>
      </c>
      <c r="Y36" s="3">
        <f t="shared" si="13"/>
        <v>14.357289066042547</v>
      </c>
      <c r="Z36" s="13">
        <f t="shared" si="14"/>
        <v>1.24692714735979</v>
      </c>
      <c r="AA36" s="2">
        <f t="shared" si="15"/>
        <v>0.80197147212439235</v>
      </c>
      <c r="AB36" s="3">
        <f t="shared" si="16"/>
        <v>0.67594190383738995</v>
      </c>
      <c r="AC36">
        <f t="shared" si="17"/>
        <v>0.3199674884427493</v>
      </c>
      <c r="AD36" s="2">
        <f t="shared" si="18"/>
        <v>46297057.910483561</v>
      </c>
      <c r="AE36">
        <f t="shared" si="19"/>
        <v>4328175.5286315307</v>
      </c>
      <c r="AF36" s="3">
        <f t="shared" si="20"/>
        <v>5461302.2770639537</v>
      </c>
      <c r="AG36">
        <f t="shared" si="21"/>
        <v>-41968882.381852038</v>
      </c>
      <c r="AI36" s="2">
        <f t="shared" si="22"/>
        <v>-1908.0861032962687</v>
      </c>
      <c r="AJ36" s="2">
        <f t="shared" si="23"/>
        <v>-1856.5692822790827</v>
      </c>
      <c r="AK36">
        <f t="shared" si="24"/>
        <v>-40835755.633419611</v>
      </c>
      <c r="AO36" s="2">
        <f t="shared" si="25"/>
        <v>320.2536314727887</v>
      </c>
      <c r="AP36" s="3">
        <f t="shared" si="26"/>
        <v>237.98138924385364</v>
      </c>
    </row>
    <row r="37" spans="1:42" x14ac:dyDescent="0.45">
      <c r="A37" s="2">
        <v>0.70099999999999996</v>
      </c>
      <c r="B37">
        <f t="shared" si="27"/>
        <v>55000</v>
      </c>
      <c r="C37">
        <v>0.422222222222222</v>
      </c>
      <c r="D37" s="3">
        <f t="shared" si="1"/>
        <v>1</v>
      </c>
      <c r="F37" s="2">
        <v>389.97</v>
      </c>
      <c r="G37" s="3">
        <v>2.8650000000000003E-4</v>
      </c>
      <c r="H37">
        <v>1.7591192124955999E-2</v>
      </c>
      <c r="I37">
        <v>0.31350851536555102</v>
      </c>
      <c r="J37">
        <v>-1.0693831438342001E-2</v>
      </c>
      <c r="K37" s="13">
        <v>968.07579999999996</v>
      </c>
      <c r="L37">
        <f t="shared" si="2"/>
        <v>408.74311555555533</v>
      </c>
      <c r="M37">
        <f t="shared" si="3"/>
        <v>23.932911369139394</v>
      </c>
      <c r="N37" s="2">
        <f t="shared" si="4"/>
        <v>0.75183635697622853</v>
      </c>
      <c r="O37">
        <f t="shared" si="5"/>
        <v>0.77864257177804763</v>
      </c>
      <c r="P37">
        <f t="shared" si="6"/>
        <v>9.059753850297704E-2</v>
      </c>
      <c r="Q37">
        <f t="shared" si="0"/>
        <v>0.10241610932821427</v>
      </c>
      <c r="R37">
        <f t="shared" si="7"/>
        <v>8.9443402146640469E-2</v>
      </c>
      <c r="S37" s="3">
        <f t="shared" si="8"/>
        <v>9.5761250960097105E-2</v>
      </c>
      <c r="T37" s="2">
        <f t="shared" si="9"/>
        <v>2.2260559602747465</v>
      </c>
      <c r="U37" s="3">
        <f t="shared" si="10"/>
        <v>1.5473227521675639</v>
      </c>
      <c r="V37">
        <v>0.422222222222222</v>
      </c>
      <c r="W37" s="13">
        <f t="shared" si="11"/>
        <v>105.49103100148801</v>
      </c>
      <c r="X37" s="2">
        <f t="shared" si="12"/>
        <v>11.44875547476998</v>
      </c>
      <c r="Y37" s="3">
        <f t="shared" si="13"/>
        <v>14.555710145934759</v>
      </c>
      <c r="Z37" s="13">
        <f t="shared" si="14"/>
        <v>1.4386500535562996</v>
      </c>
      <c r="AA37" s="2">
        <f t="shared" si="15"/>
        <v>0.69509607115923022</v>
      </c>
      <c r="AB37" s="3">
        <f t="shared" si="16"/>
        <v>0.6074271489115407</v>
      </c>
      <c r="AC37">
        <f t="shared" si="17"/>
        <v>0.25808637989683753</v>
      </c>
      <c r="AD37" s="2">
        <f t="shared" si="18"/>
        <v>43118732.674715884</v>
      </c>
      <c r="AE37">
        <f t="shared" si="19"/>
        <v>4679599.9819912035</v>
      </c>
      <c r="AF37" s="3">
        <f t="shared" si="20"/>
        <v>5949546.3141729804</v>
      </c>
      <c r="AG37">
        <f t="shared" si="21"/>
        <v>-38439132.692724682</v>
      </c>
      <c r="AI37" s="2">
        <f t="shared" si="22"/>
        <v>-1747.6084839815696</v>
      </c>
      <c r="AJ37" s="2">
        <f t="shared" si="23"/>
        <v>-1689.8712555674067</v>
      </c>
      <c r="AK37">
        <f t="shared" si="24"/>
        <v>-37169186.360542901</v>
      </c>
      <c r="AO37" s="2">
        <f t="shared" si="25"/>
        <v>298.26799686239332</v>
      </c>
      <c r="AP37" s="3">
        <f t="shared" si="26"/>
        <v>233.29288570694428</v>
      </c>
    </row>
    <row r="38" spans="1:42" x14ac:dyDescent="0.45">
      <c r="A38" s="2">
        <v>0.70099999999999996</v>
      </c>
      <c r="B38">
        <f t="shared" si="27"/>
        <v>55000</v>
      </c>
      <c r="C38">
        <v>0.45151515151515198</v>
      </c>
      <c r="D38" s="3">
        <f t="shared" si="1"/>
        <v>1</v>
      </c>
      <c r="F38" s="2">
        <v>389.97</v>
      </c>
      <c r="G38" s="3">
        <v>2.8650000000000003E-4</v>
      </c>
      <c r="H38">
        <v>1.7591192124955999E-2</v>
      </c>
      <c r="I38">
        <v>0.31350851536555102</v>
      </c>
      <c r="J38">
        <v>-1.0693831438342001E-2</v>
      </c>
      <c r="K38" s="13">
        <v>968.07579999999996</v>
      </c>
      <c r="L38">
        <f t="shared" si="2"/>
        <v>437.10089151515194</v>
      </c>
      <c r="M38">
        <f t="shared" si="3"/>
        <v>27.368942376298545</v>
      </c>
      <c r="N38" s="2">
        <f t="shared" si="4"/>
        <v>0.75183635697622853</v>
      </c>
      <c r="O38">
        <f t="shared" si="5"/>
        <v>0.78249112090869744</v>
      </c>
      <c r="P38">
        <f t="shared" si="6"/>
        <v>9.059753850297704E-2</v>
      </c>
      <c r="Q38">
        <f t="shared" si="0"/>
        <v>0.10419880310628719</v>
      </c>
      <c r="R38">
        <f t="shared" si="7"/>
        <v>9.0084601594617369E-2</v>
      </c>
      <c r="S38" s="3">
        <f t="shared" si="8"/>
        <v>9.719717733242357E-2</v>
      </c>
      <c r="T38" s="2">
        <f t="shared" si="9"/>
        <v>1.9465859976429676</v>
      </c>
      <c r="U38" s="3">
        <f t="shared" si="10"/>
        <v>1.1847202699737844</v>
      </c>
      <c r="V38">
        <v>0.45151515151515198</v>
      </c>
      <c r="W38" s="13">
        <f t="shared" si="11"/>
        <v>92.366168152613</v>
      </c>
      <c r="X38" s="2">
        <f t="shared" si="12"/>
        <v>11.530829004111023</v>
      </c>
      <c r="Y38" s="3">
        <f t="shared" si="13"/>
        <v>14.773970954528382</v>
      </c>
      <c r="Z38" s="13">
        <f t="shared" si="14"/>
        <v>1.6430764687482233</v>
      </c>
      <c r="AA38" s="2">
        <f t="shared" si="15"/>
        <v>0.60861440049826121</v>
      </c>
      <c r="AB38" s="3">
        <f t="shared" si="16"/>
        <v>0.54672955304439264</v>
      </c>
      <c r="AC38">
        <f t="shared" si="17"/>
        <v>0.21131544214526307</v>
      </c>
      <c r="AD38" s="2">
        <f t="shared" si="18"/>
        <v>40373334.445345581</v>
      </c>
      <c r="AE38">
        <f t="shared" si="19"/>
        <v>5040135.6376056997</v>
      </c>
      <c r="AF38" s="3">
        <f t="shared" si="20"/>
        <v>6457715.8754433161</v>
      </c>
      <c r="AG38">
        <f t="shared" si="21"/>
        <v>-35333198.807739876</v>
      </c>
      <c r="AI38" s="2">
        <f t="shared" si="22"/>
        <v>-1606.3993559953749</v>
      </c>
      <c r="AJ38" s="2">
        <f t="shared" si="23"/>
        <v>-1541.9500545459036</v>
      </c>
      <c r="AK38">
        <f t="shared" si="24"/>
        <v>-33915618.569902256</v>
      </c>
      <c r="AO38" s="2">
        <f t="shared" si="25"/>
        <v>279.27707621912475</v>
      </c>
      <c r="AP38" s="3">
        <f t="shared" si="26"/>
        <v>227.24713727032517</v>
      </c>
    </row>
    <row r="39" spans="1:42" x14ac:dyDescent="0.45">
      <c r="A39" s="2">
        <v>0.70099999999999996</v>
      </c>
      <c r="B39">
        <f t="shared" si="27"/>
        <v>55000</v>
      </c>
      <c r="C39">
        <v>0.48080808080808102</v>
      </c>
      <c r="D39" s="3">
        <f t="shared" si="1"/>
        <v>1</v>
      </c>
      <c r="F39" s="2">
        <v>389.97</v>
      </c>
      <c r="G39" s="3">
        <v>2.8650000000000003E-4</v>
      </c>
      <c r="H39">
        <v>1.7591192124955999E-2</v>
      </c>
      <c r="I39">
        <v>0.31350851536555102</v>
      </c>
      <c r="J39">
        <v>-1.0693831438342001E-2</v>
      </c>
      <c r="K39" s="13">
        <v>968.07579999999996</v>
      </c>
      <c r="L39">
        <f t="shared" si="2"/>
        <v>465.45866747474764</v>
      </c>
      <c r="M39">
        <f t="shared" si="3"/>
        <v>31.035366213995427</v>
      </c>
      <c r="N39" s="2">
        <f t="shared" si="4"/>
        <v>0.75183635697622853</v>
      </c>
      <c r="O39">
        <f t="shared" si="5"/>
        <v>0.78659772304463915</v>
      </c>
      <c r="P39">
        <f t="shared" si="6"/>
        <v>9.059753850297704E-2</v>
      </c>
      <c r="Q39">
        <f t="shared" si="0"/>
        <v>0.10612535692820659</v>
      </c>
      <c r="R39">
        <f t="shared" si="7"/>
        <v>9.0817578171289506E-2</v>
      </c>
      <c r="S39" s="3">
        <f t="shared" si="8"/>
        <v>9.8766590083243483E-2</v>
      </c>
      <c r="T39" s="2">
        <f t="shared" si="9"/>
        <v>1.7166222442052297</v>
      </c>
      <c r="U39" s="3">
        <f t="shared" si="10"/>
        <v>0.92307828604821018</v>
      </c>
      <c r="V39">
        <v>0.48080808080808102</v>
      </c>
      <c r="W39" s="13">
        <f t="shared" si="11"/>
        <v>81.608332159246501</v>
      </c>
      <c r="X39" s="2">
        <f t="shared" si="12"/>
        <v>11.624650005925057</v>
      </c>
      <c r="Y39" s="3">
        <f t="shared" si="13"/>
        <v>15.01252169265301</v>
      </c>
      <c r="Z39" s="13">
        <f t="shared" si="14"/>
        <v>1.8596713519871213</v>
      </c>
      <c r="AA39" s="2">
        <f t="shared" si="15"/>
        <v>0.53772942134720014</v>
      </c>
      <c r="AB39" s="3">
        <f t="shared" si="16"/>
        <v>0.49337363679640411</v>
      </c>
      <c r="AC39">
        <f t="shared" si="17"/>
        <v>0.17532884842814528</v>
      </c>
      <c r="AD39" s="2">
        <f t="shared" si="18"/>
        <v>37985305.541679472</v>
      </c>
      <c r="AE39">
        <f t="shared" si="19"/>
        <v>5410794.101618194</v>
      </c>
      <c r="AF39" s="3">
        <f t="shared" si="20"/>
        <v>6987708.3424980128</v>
      </c>
      <c r="AG39">
        <f t="shared" si="21"/>
        <v>-32574511.440061282</v>
      </c>
      <c r="AI39" s="2">
        <f t="shared" si="22"/>
        <v>-1480.9775498649681</v>
      </c>
      <c r="AJ39" s="2">
        <f t="shared" si="23"/>
        <v>-1409.2842385745569</v>
      </c>
      <c r="AK39">
        <f t="shared" si="24"/>
        <v>-30997597.19918146</v>
      </c>
      <c r="AO39" s="2">
        <f t="shared" si="25"/>
        <v>262.75820951403597</v>
      </c>
      <c r="AP39" s="3">
        <f t="shared" si="26"/>
        <v>220.44116670068098</v>
      </c>
    </row>
    <row r="40" spans="1:42" x14ac:dyDescent="0.45">
      <c r="A40" s="2">
        <v>0.70099999999999996</v>
      </c>
      <c r="B40">
        <f t="shared" si="27"/>
        <v>55000</v>
      </c>
      <c r="C40">
        <v>0.51010101010101006</v>
      </c>
      <c r="D40" s="3">
        <f t="shared" si="1"/>
        <v>1</v>
      </c>
      <c r="F40" s="2">
        <v>389.97</v>
      </c>
      <c r="G40" s="3">
        <v>2.8650000000000003E-4</v>
      </c>
      <c r="H40">
        <v>1.7591192124955999E-2</v>
      </c>
      <c r="I40">
        <v>0.31350851536555102</v>
      </c>
      <c r="J40">
        <v>-1.0693831438342001E-2</v>
      </c>
      <c r="K40" s="13">
        <v>968.07579999999996</v>
      </c>
      <c r="L40">
        <f t="shared" si="2"/>
        <v>493.81644343434334</v>
      </c>
      <c r="M40">
        <f t="shared" si="3"/>
        <v>34.93218288223013</v>
      </c>
      <c r="N40" s="2">
        <f t="shared" si="4"/>
        <v>0.75183635697622853</v>
      </c>
      <c r="O40">
        <f t="shared" si="5"/>
        <v>0.79096237818587301</v>
      </c>
      <c r="P40">
        <f t="shared" si="6"/>
        <v>9.059753850297704E-2</v>
      </c>
      <c r="Q40">
        <f t="shared" si="0"/>
        <v>0.10820072255350055</v>
      </c>
      <c r="R40">
        <f t="shared" si="7"/>
        <v>9.1642733193040615E-2</v>
      </c>
      <c r="S40" s="3">
        <f t="shared" si="8"/>
        <v>0.1004728802223904</v>
      </c>
      <c r="T40" s="2">
        <f t="shared" si="9"/>
        <v>1.5251265625058117</v>
      </c>
      <c r="U40" s="3">
        <f t="shared" si="10"/>
        <v>0.73050601100324986</v>
      </c>
      <c r="V40">
        <v>0.51010101010101006</v>
      </c>
      <c r="W40" s="13">
        <f t="shared" si="11"/>
        <v>72.692333753938271</v>
      </c>
      <c r="X40" s="2">
        <f t="shared" si="12"/>
        <v>11.730269848709199</v>
      </c>
      <c r="Y40" s="3">
        <f t="shared" si="13"/>
        <v>15.271877793803339</v>
      </c>
      <c r="Z40" s="13">
        <f t="shared" si="14"/>
        <v>2.0877673003830037</v>
      </c>
      <c r="AA40" s="2">
        <f t="shared" si="15"/>
        <v>0.47898058361990276</v>
      </c>
      <c r="AB40" s="3">
        <f t="shared" si="16"/>
        <v>0.44669112135248762</v>
      </c>
      <c r="AC40">
        <f t="shared" si="17"/>
        <v>0.14720517050502646</v>
      </c>
      <c r="AD40" s="2">
        <f t="shared" si="18"/>
        <v>35896669.719312064</v>
      </c>
      <c r="AE40">
        <f t="shared" si="19"/>
        <v>5792600.1372146895</v>
      </c>
      <c r="AF40" s="3">
        <f t="shared" si="20"/>
        <v>7541504.3766998909</v>
      </c>
      <c r="AG40">
        <f t="shared" si="21"/>
        <v>-30104069.582097378</v>
      </c>
      <c r="AI40" s="2">
        <f t="shared" si="22"/>
        <v>-1368.6606257378519</v>
      </c>
      <c r="AJ40" s="2">
        <f t="shared" si="23"/>
        <v>-1289.1479085538308</v>
      </c>
      <c r="AK40">
        <f t="shared" si="24"/>
        <v>-28355165.342612177</v>
      </c>
      <c r="AO40" s="2">
        <f t="shared" si="25"/>
        <v>248.31035392393264</v>
      </c>
      <c r="AP40" s="3">
        <f t="shared" si="26"/>
        <v>213.3206485341648</v>
      </c>
    </row>
    <row r="41" spans="1:42" x14ac:dyDescent="0.45">
      <c r="A41" s="2">
        <v>0.70099999999999996</v>
      </c>
      <c r="B41">
        <f t="shared" si="27"/>
        <v>55000</v>
      </c>
      <c r="C41">
        <v>0.53939393939393898</v>
      </c>
      <c r="D41" s="3">
        <f t="shared" si="1"/>
        <v>1</v>
      </c>
      <c r="F41" s="2">
        <v>389.97</v>
      </c>
      <c r="G41" s="3">
        <v>2.8650000000000003E-4</v>
      </c>
      <c r="H41">
        <v>1.7591192124955999E-2</v>
      </c>
      <c r="I41">
        <v>0.31350851536555102</v>
      </c>
      <c r="J41">
        <v>-1.0693831438342001E-2</v>
      </c>
      <c r="K41" s="13">
        <v>968.07579999999996</v>
      </c>
      <c r="L41">
        <f t="shared" si="2"/>
        <v>522.17421939393898</v>
      </c>
      <c r="M41">
        <f t="shared" si="3"/>
        <v>39.05939238100266</v>
      </c>
      <c r="N41" s="2">
        <f t="shared" si="4"/>
        <v>0.75183635697622853</v>
      </c>
      <c r="O41">
        <f t="shared" si="5"/>
        <v>0.79558508633239888</v>
      </c>
      <c r="P41">
        <f t="shared" si="6"/>
        <v>9.059753850297704E-2</v>
      </c>
      <c r="Q41">
        <f t="shared" si="0"/>
        <v>0.11043023178451183</v>
      </c>
      <c r="R41">
        <f t="shared" si="7"/>
        <v>9.2560612459381755E-2</v>
      </c>
      <c r="S41" s="3">
        <f t="shared" si="8"/>
        <v>0.10231985529515142</v>
      </c>
      <c r="T41" s="2">
        <f t="shared" si="9"/>
        <v>1.3639741110235979</v>
      </c>
      <c r="U41" s="3">
        <f t="shared" si="10"/>
        <v>0.58626428033016986</v>
      </c>
      <c r="V41">
        <v>0.53939393939393898</v>
      </c>
      <c r="W41" s="13">
        <f t="shared" si="11"/>
        <v>65.231596887627475</v>
      </c>
      <c r="X41" s="2">
        <f t="shared" si="12"/>
        <v>11.847758394800865</v>
      </c>
      <c r="Y41" s="3">
        <f t="shared" si="13"/>
        <v>15.552618004863016</v>
      </c>
      <c r="Z41" s="13">
        <f t="shared" si="14"/>
        <v>2.3265516197838978</v>
      </c>
      <c r="AA41" s="2">
        <f t="shared" si="15"/>
        <v>0.42982068031350418</v>
      </c>
      <c r="AB41" s="3">
        <f t="shared" si="16"/>
        <v>0.40594671106879349</v>
      </c>
      <c r="AC41">
        <f t="shared" si="17"/>
        <v>0.1249230514737753</v>
      </c>
      <c r="AD41" s="2">
        <f t="shared" si="18"/>
        <v>34062258.184616975</v>
      </c>
      <c r="AE41">
        <f t="shared" si="19"/>
        <v>6186593.9913731292</v>
      </c>
      <c r="AF41" s="3">
        <f t="shared" si="20"/>
        <v>8121176.1662214659</v>
      </c>
      <c r="AG41">
        <f t="shared" si="21"/>
        <v>-27875664.19324385</v>
      </c>
      <c r="AI41" s="2">
        <f t="shared" si="22"/>
        <v>-1267.3477216606025</v>
      </c>
      <c r="AJ41" s="2">
        <f t="shared" si="23"/>
        <v>-1179.3932860402492</v>
      </c>
      <c r="AK41">
        <f t="shared" si="24"/>
        <v>-25941082.018395513</v>
      </c>
      <c r="AO41" s="2">
        <f t="shared" si="25"/>
        <v>235.621060432809</v>
      </c>
      <c r="AP41" s="3">
        <f t="shared" si="26"/>
        <v>206.20070288997874</v>
      </c>
    </row>
    <row r="42" spans="1:42" x14ac:dyDescent="0.45">
      <c r="A42" s="2">
        <v>0.70099999999999996</v>
      </c>
      <c r="B42">
        <f t="shared" si="27"/>
        <v>55000</v>
      </c>
      <c r="C42">
        <v>0.56868686868686902</v>
      </c>
      <c r="D42" s="3">
        <f t="shared" si="1"/>
        <v>1</v>
      </c>
      <c r="F42" s="2">
        <v>389.97</v>
      </c>
      <c r="G42" s="3">
        <v>2.8650000000000003E-4</v>
      </c>
      <c r="H42">
        <v>1.7591192124955999E-2</v>
      </c>
      <c r="I42">
        <v>0.31350851536555102</v>
      </c>
      <c r="J42">
        <v>-1.0693831438342001E-2</v>
      </c>
      <c r="K42" s="13">
        <v>968.07579999999996</v>
      </c>
      <c r="L42">
        <f t="shared" si="2"/>
        <v>550.53199535353565</v>
      </c>
      <c r="M42">
        <f t="shared" si="3"/>
        <v>43.416994710313183</v>
      </c>
      <c r="N42" s="2">
        <f t="shared" si="4"/>
        <v>0.75183635697622853</v>
      </c>
      <c r="O42">
        <f t="shared" si="5"/>
        <v>0.80046584748421723</v>
      </c>
      <c r="P42">
        <f t="shared" si="6"/>
        <v>9.059753850297704E-2</v>
      </c>
      <c r="Q42">
        <f t="shared" si="0"/>
        <v>0.11281960935152763</v>
      </c>
      <c r="R42">
        <f t="shared" si="7"/>
        <v>9.3571900240948816E-2</v>
      </c>
      <c r="S42" s="3">
        <f t="shared" si="8"/>
        <v>0.1043117325643628</v>
      </c>
      <c r="T42" s="2">
        <f t="shared" si="9"/>
        <v>1.2270771009248349</v>
      </c>
      <c r="U42" s="3">
        <f t="shared" si="10"/>
        <v>0.47652451752782476</v>
      </c>
      <c r="V42">
        <v>0.56868686868686902</v>
      </c>
      <c r="W42" s="13">
        <f t="shared" si="11"/>
        <v>58.936467497677576</v>
      </c>
      <c r="X42" s="2">
        <f t="shared" si="12"/>
        <v>11.977203230841448</v>
      </c>
      <c r="Y42" s="3">
        <f t="shared" si="13"/>
        <v>15.855383349783146</v>
      </c>
      <c r="Z42" s="13">
        <f t="shared" si="14"/>
        <v>2.575055544446744</v>
      </c>
      <c r="AA42" s="2">
        <f t="shared" si="15"/>
        <v>0.38834113778887519</v>
      </c>
      <c r="AB42" s="3">
        <f t="shared" si="16"/>
        <v>0.37041540627426922</v>
      </c>
      <c r="AC42">
        <f t="shared" si="17"/>
        <v>0.10705366444656916</v>
      </c>
      <c r="AD42" s="2">
        <f t="shared" si="18"/>
        <v>32446411.050585236</v>
      </c>
      <c r="AE42">
        <f t="shared" si="19"/>
        <v>6593833.5934299566</v>
      </c>
      <c r="AF42" s="3">
        <f t="shared" si="20"/>
        <v>8728895.8326513413</v>
      </c>
      <c r="AG42">
        <f t="shared" si="21"/>
        <v>-25852577.45715528</v>
      </c>
      <c r="AI42" s="2">
        <f t="shared" si="22"/>
        <v>-1175.3694876020556</v>
      </c>
      <c r="AJ42" s="2">
        <f t="shared" si="23"/>
        <v>-1078.3003650253597</v>
      </c>
      <c r="AK42">
        <f t="shared" si="24"/>
        <v>-23717515.217933897</v>
      </c>
      <c r="AO42" s="2">
        <f t="shared" si="25"/>
        <v>224.44365659908971</v>
      </c>
      <c r="AP42" s="3">
        <f t="shared" si="26"/>
        <v>199.29406621214974</v>
      </c>
    </row>
    <row r="43" spans="1:42" x14ac:dyDescent="0.45">
      <c r="A43" s="2">
        <v>0.70099999999999996</v>
      </c>
      <c r="B43">
        <f t="shared" si="27"/>
        <v>55000</v>
      </c>
      <c r="C43">
        <v>0.59797979797979794</v>
      </c>
      <c r="D43" s="3">
        <f t="shared" si="1"/>
        <v>1</v>
      </c>
      <c r="F43" s="2">
        <v>389.97</v>
      </c>
      <c r="G43" s="3">
        <v>2.8650000000000003E-4</v>
      </c>
      <c r="H43">
        <v>1.7591192124955999E-2</v>
      </c>
      <c r="I43">
        <v>0.31350851536555102</v>
      </c>
      <c r="J43">
        <v>-1.0693831438342001E-2</v>
      </c>
      <c r="K43" s="13">
        <v>968.07579999999996</v>
      </c>
      <c r="L43">
        <f t="shared" si="2"/>
        <v>578.88977131313129</v>
      </c>
      <c r="M43">
        <f t="shared" si="3"/>
        <v>48.004989870161374</v>
      </c>
      <c r="N43" s="2">
        <f t="shared" si="4"/>
        <v>0.75183635697622853</v>
      </c>
      <c r="O43">
        <f t="shared" si="5"/>
        <v>0.80560466164132727</v>
      </c>
      <c r="P43">
        <f t="shared" si="6"/>
        <v>9.059753850297704E-2</v>
      </c>
      <c r="Q43">
        <f t="shared" si="0"/>
        <v>0.11537498664580764</v>
      </c>
      <c r="R43">
        <f t="shared" si="7"/>
        <v>9.467741328389305E-2</v>
      </c>
      <c r="S43" s="3">
        <f t="shared" si="8"/>
        <v>0.10645313659433005</v>
      </c>
      <c r="T43" s="2">
        <f t="shared" si="9"/>
        <v>1.1098012965755242</v>
      </c>
      <c r="U43" s="3">
        <f t="shared" si="10"/>
        <v>0.39185872291084783</v>
      </c>
      <c r="V43">
        <v>0.59797979797979794</v>
      </c>
      <c r="W43" s="13">
        <f t="shared" si="11"/>
        <v>53.586450883096198</v>
      </c>
      <c r="X43" s="2">
        <f t="shared" si="12"/>
        <v>12.11870890033831</v>
      </c>
      <c r="Y43" s="3">
        <f t="shared" si="13"/>
        <v>16.180876762338166</v>
      </c>
      <c r="Z43" s="13">
        <f t="shared" si="14"/>
        <v>2.8321464642450134</v>
      </c>
      <c r="AA43" s="2">
        <f t="shared" si="15"/>
        <v>0.35308908371254644</v>
      </c>
      <c r="AB43" s="3">
        <f t="shared" si="16"/>
        <v>0.33942413201876664</v>
      </c>
      <c r="AC43">
        <f t="shared" si="17"/>
        <v>9.256762433639612E-2</v>
      </c>
      <c r="AD43" s="2">
        <f t="shared" si="18"/>
        <v>31020648.297197901</v>
      </c>
      <c r="AE43">
        <f t="shared" si="19"/>
        <v>7015396.6239272533</v>
      </c>
      <c r="AF43" s="3">
        <f t="shared" si="20"/>
        <v>9366944.0485958997</v>
      </c>
      <c r="AG43">
        <f t="shared" si="21"/>
        <v>-24005251.67327065</v>
      </c>
      <c r="AI43" s="2">
        <f t="shared" si="22"/>
        <v>-1091.3821032247356</v>
      </c>
      <c r="AJ43" s="2">
        <f t="shared" si="23"/>
        <v>-984.47063197258228</v>
      </c>
      <c r="AK43">
        <f t="shared" si="24"/>
        <v>-21653704.248602003</v>
      </c>
      <c r="AO43" s="2">
        <f t="shared" si="25"/>
        <v>214.58113573925897</v>
      </c>
      <c r="AP43" s="3">
        <f t="shared" si="26"/>
        <v>192.73795396679728</v>
      </c>
    </row>
    <row r="44" spans="1:42" x14ac:dyDescent="0.45">
      <c r="A44" s="2">
        <v>0.70099999999999996</v>
      </c>
      <c r="B44">
        <f t="shared" si="27"/>
        <v>55000</v>
      </c>
      <c r="C44">
        <v>0.62727272727272698</v>
      </c>
      <c r="D44" s="3">
        <f t="shared" si="1"/>
        <v>1</v>
      </c>
      <c r="F44" s="2">
        <v>389.97</v>
      </c>
      <c r="G44" s="3">
        <v>2.8650000000000003E-4</v>
      </c>
      <c r="H44">
        <v>1.7591192124955999E-2</v>
      </c>
      <c r="I44">
        <v>0.31350851536555102</v>
      </c>
      <c r="J44">
        <v>-1.0693831438342001E-2</v>
      </c>
      <c r="K44" s="13">
        <v>968.07579999999996</v>
      </c>
      <c r="L44">
        <f t="shared" si="2"/>
        <v>607.24754727272693</v>
      </c>
      <c r="M44">
        <f t="shared" si="3"/>
        <v>52.823377860547403</v>
      </c>
      <c r="N44" s="2">
        <f t="shared" si="4"/>
        <v>0.75183635697622853</v>
      </c>
      <c r="O44">
        <f t="shared" si="5"/>
        <v>0.81100152880372967</v>
      </c>
      <c r="P44">
        <f t="shared" si="6"/>
        <v>9.059753850297704E-2</v>
      </c>
      <c r="Q44">
        <f t="shared" si="0"/>
        <v>0.11810291631485273</v>
      </c>
      <c r="R44">
        <f t="shared" si="7"/>
        <v>9.5878094790148638E-2</v>
      </c>
      <c r="S44" s="3">
        <f t="shared" si="8"/>
        <v>0.10874910027246543</v>
      </c>
      <c r="T44" s="2">
        <f t="shared" si="9"/>
        <v>1.0085685951520842</v>
      </c>
      <c r="U44" s="3">
        <f t="shared" si="10"/>
        <v>0.3257099180829201</v>
      </c>
      <c r="V44">
        <v>0.62727272727272698</v>
      </c>
      <c r="W44" s="13">
        <f t="shared" si="11"/>
        <v>49.011302633690427</v>
      </c>
      <c r="X44" s="2">
        <f t="shared" si="12"/>
        <v>12.272396133139026</v>
      </c>
      <c r="Y44" s="3">
        <f t="shared" si="13"/>
        <v>16.529863241414745</v>
      </c>
      <c r="Z44" s="13">
        <f t="shared" si="14"/>
        <v>3.0965240514884171</v>
      </c>
      <c r="AA44" s="2">
        <f t="shared" si="15"/>
        <v>0.32294275238047204</v>
      </c>
      <c r="AB44" s="3">
        <f t="shared" si="16"/>
        <v>0.31237006521231853</v>
      </c>
      <c r="AC44">
        <f t="shared" si="17"/>
        <v>8.0710581465187003E-2</v>
      </c>
      <c r="AD44" s="2">
        <f t="shared" si="18"/>
        <v>29761993.312949855</v>
      </c>
      <c r="AE44">
        <f t="shared" si="19"/>
        <v>7452382.4510079725</v>
      </c>
      <c r="AF44" s="3">
        <f t="shared" si="20"/>
        <v>10037718.91010271</v>
      </c>
      <c r="AG44">
        <f t="shared" si="21"/>
        <v>-22309610.861941885</v>
      </c>
      <c r="AI44" s="2">
        <f t="shared" si="22"/>
        <v>-1014.2909708271411</v>
      </c>
      <c r="AJ44" s="2">
        <f t="shared" si="23"/>
        <v>-896.7504434177913</v>
      </c>
      <c r="AK44">
        <f t="shared" si="24"/>
        <v>-19724274.402847145</v>
      </c>
      <c r="AO44" s="2">
        <f t="shared" si="25"/>
        <v>205.87456025327143</v>
      </c>
      <c r="AP44" s="3">
        <f t="shared" si="26"/>
        <v>186.61620117314217</v>
      </c>
    </row>
    <row r="45" spans="1:42" x14ac:dyDescent="0.45">
      <c r="A45" s="2">
        <v>0.70099999999999996</v>
      </c>
      <c r="B45">
        <f t="shared" si="27"/>
        <v>55000</v>
      </c>
      <c r="C45">
        <v>0.65656565656565702</v>
      </c>
      <c r="D45" s="3">
        <f t="shared" si="1"/>
        <v>1</v>
      </c>
      <c r="F45" s="2">
        <v>389.97</v>
      </c>
      <c r="G45" s="3">
        <v>2.8650000000000003E-4</v>
      </c>
      <c r="H45">
        <v>1.7591192124955999E-2</v>
      </c>
      <c r="I45">
        <v>0.31350851536555102</v>
      </c>
      <c r="J45">
        <v>-1.0693831438342001E-2</v>
      </c>
      <c r="K45" s="13">
        <v>968.07579999999996</v>
      </c>
      <c r="L45">
        <f t="shared" si="2"/>
        <v>635.6053232323236</v>
      </c>
      <c r="M45">
        <f t="shared" si="3"/>
        <v>57.87215868147144</v>
      </c>
      <c r="N45" s="2">
        <f t="shared" si="4"/>
        <v>0.75183635697622853</v>
      </c>
      <c r="O45">
        <f t="shared" si="5"/>
        <v>0.81665644897142431</v>
      </c>
      <c r="P45">
        <f t="shared" si="6"/>
        <v>9.059753850297704E-2</v>
      </c>
      <c r="Q45">
        <f t="shared" si="0"/>
        <v>0.12101038773492281</v>
      </c>
      <c r="R45">
        <f t="shared" si="7"/>
        <v>9.7175008332589519E-2</v>
      </c>
      <c r="S45" s="3">
        <f t="shared" si="8"/>
        <v>0.11120506859463754</v>
      </c>
      <c r="T45" s="2">
        <f t="shared" si="9"/>
        <v>0.92058083219655396</v>
      </c>
      <c r="U45" s="3">
        <f t="shared" si="10"/>
        <v>0.27343542539750376</v>
      </c>
      <c r="V45">
        <v>0.65656565656565702</v>
      </c>
      <c r="W45" s="13">
        <f t="shared" si="11"/>
        <v>45.077887431316505</v>
      </c>
      <c r="X45" s="2">
        <f t="shared" si="12"/>
        <v>12.438401066571458</v>
      </c>
      <c r="Y45" s="3">
        <f t="shared" si="13"/>
        <v>16.903170426384907</v>
      </c>
      <c r="Z45" s="13">
        <f t="shared" si="14"/>
        <v>3.3667211585999497</v>
      </c>
      <c r="AA45" s="2">
        <f t="shared" si="15"/>
        <v>0.29702489540768795</v>
      </c>
      <c r="AB45" s="3">
        <f t="shared" si="16"/>
        <v>0.28872511071125079</v>
      </c>
      <c r="AC45">
        <f t="shared" si="17"/>
        <v>7.092119241871081E-2</v>
      </c>
      <c r="AD45" s="2">
        <f t="shared" si="18"/>
        <v>28651745.211412225</v>
      </c>
      <c r="AE45">
        <f t="shared" si="19"/>
        <v>7905913.930411431</v>
      </c>
      <c r="AF45" s="3">
        <f t="shared" si="20"/>
        <v>10743745.102513433</v>
      </c>
      <c r="AG45">
        <f t="shared" si="21"/>
        <v>-20745831.281000793</v>
      </c>
      <c r="AI45" s="2">
        <f t="shared" si="22"/>
        <v>-943.19481773295217</v>
      </c>
      <c r="AJ45" s="2">
        <f t="shared" si="23"/>
        <v>-814.17479347492633</v>
      </c>
      <c r="AK45">
        <f t="shared" si="24"/>
        <v>-17908000.108898796</v>
      </c>
      <c r="AO45" s="2">
        <f t="shared" si="25"/>
        <v>198.19456929054803</v>
      </c>
      <c r="AP45" s="3">
        <f t="shared" si="26"/>
        <v>180.97611864421083</v>
      </c>
    </row>
    <row r="46" spans="1:42" ht="14.65" thickBot="1" x14ac:dyDescent="0.5">
      <c r="A46" s="2">
        <v>0.70099999999999996</v>
      </c>
      <c r="B46" s="4">
        <f t="shared" si="27"/>
        <v>55000</v>
      </c>
      <c r="C46" s="4">
        <v>0.68585858585858595</v>
      </c>
      <c r="D46" s="5">
        <f t="shared" si="1"/>
        <v>1</v>
      </c>
      <c r="F46" s="2">
        <v>389.97</v>
      </c>
      <c r="G46" s="3">
        <v>2.8650000000000003E-4</v>
      </c>
      <c r="H46">
        <v>1.7591192124955999E-2</v>
      </c>
      <c r="I46">
        <v>0.31350851536555102</v>
      </c>
      <c r="J46">
        <v>-1.0693831438342001E-2</v>
      </c>
      <c r="K46" s="13">
        <v>968.07579999999996</v>
      </c>
      <c r="L46">
        <f t="shared" si="2"/>
        <v>663.96309919191924</v>
      </c>
      <c r="M46">
        <f t="shared" si="3"/>
        <v>63.15133233293313</v>
      </c>
      <c r="N46" s="2">
        <f t="shared" si="4"/>
        <v>0.75183635697622853</v>
      </c>
      <c r="O46">
        <f t="shared" si="5"/>
        <v>0.82256942214441087</v>
      </c>
      <c r="P46" s="4">
        <f t="shared" si="6"/>
        <v>9.059753850297704E-2</v>
      </c>
      <c r="Q46">
        <f t="shared" si="0"/>
        <v>0.12410484337647282</v>
      </c>
      <c r="R46">
        <f t="shared" si="7"/>
        <v>9.8569331663556137E-2</v>
      </c>
      <c r="S46" s="3">
        <f t="shared" si="8"/>
        <v>0.11382690473478399</v>
      </c>
      <c r="T46" s="2">
        <f t="shared" si="9"/>
        <v>0.84362432322297676</v>
      </c>
      <c r="U46" s="3">
        <f t="shared" si="10"/>
        <v>0.23169425282073566</v>
      </c>
      <c r="V46" s="4">
        <v>0.68585858585858595</v>
      </c>
      <c r="W46" s="13">
        <f t="shared" si="11"/>
        <v>41.680879233586445</v>
      </c>
      <c r="X46" s="2">
        <f t="shared" si="12"/>
        <v>12.616874452935186</v>
      </c>
      <c r="Y46" s="3">
        <f t="shared" si="13"/>
        <v>17.301689519687166</v>
      </c>
      <c r="Z46" s="13">
        <f t="shared" si="14"/>
        <v>3.641110269039336</v>
      </c>
      <c r="AA46" s="2">
        <f t="shared" si="15"/>
        <v>0.27464150385751385</v>
      </c>
      <c r="AB46" s="3">
        <f t="shared" si="16"/>
        <v>0.26803288935778924</v>
      </c>
      <c r="AC46">
        <f t="shared" si="17"/>
        <v>6.2775897161023622E-2</v>
      </c>
      <c r="AD46" s="2">
        <f t="shared" si="18"/>
        <v>27674565.752976164</v>
      </c>
      <c r="AE46">
        <f t="shared" si="19"/>
        <v>8377139.0638861954</v>
      </c>
      <c r="AF46" s="3">
        <f t="shared" si="20"/>
        <v>11487683.394747838</v>
      </c>
      <c r="AG46">
        <f t="shared" si="21"/>
        <v>-19297426.689089965</v>
      </c>
      <c r="AI46" s="2">
        <f t="shared" si="22"/>
        <v>-877.34410842336592</v>
      </c>
      <c r="AJ46" s="2">
        <f t="shared" si="23"/>
        <v>-735.92536971588595</v>
      </c>
      <c r="AK46">
        <f t="shared" si="24"/>
        <v>-16186882.358228322</v>
      </c>
      <c r="AO46" s="2">
        <f t="shared" si="25"/>
        <v>191.43506265473007</v>
      </c>
      <c r="AP46" s="3">
        <f t="shared" si="26"/>
        <v>175.84071907257564</v>
      </c>
    </row>
    <row r="47" spans="1:42" ht="14.65" thickBot="1" x14ac:dyDescent="0.5">
      <c r="A47" s="2">
        <v>0.70099999999999996</v>
      </c>
      <c r="B47" s="4">
        <f t="shared" si="27"/>
        <v>55000</v>
      </c>
      <c r="C47">
        <v>0.71515151515151498</v>
      </c>
      <c r="D47" s="5">
        <f t="shared" si="1"/>
        <v>1</v>
      </c>
      <c r="F47" s="2">
        <v>389.97</v>
      </c>
      <c r="G47" s="3">
        <v>2.8650000000000003E-4</v>
      </c>
      <c r="H47">
        <v>1.7591192124955999E-2</v>
      </c>
      <c r="I47">
        <v>0.31350851536555102</v>
      </c>
      <c r="J47">
        <v>-1.0693831438342001E-2</v>
      </c>
      <c r="K47" s="13">
        <v>968.07579999999996</v>
      </c>
      <c r="L47">
        <f t="shared" si="2"/>
        <v>692.320875151515</v>
      </c>
      <c r="M47">
        <f t="shared" si="3"/>
        <v>68.660898814932679</v>
      </c>
      <c r="N47" s="2">
        <f t="shared" si="4"/>
        <v>0.75183635697622853</v>
      </c>
      <c r="O47">
        <f t="shared" si="5"/>
        <v>0.82874044832268945</v>
      </c>
      <c r="P47" s="4">
        <f t="shared" si="6"/>
        <v>9.059753850297704E-2</v>
      </c>
      <c r="Q47">
        <f t="shared" si="0"/>
        <v>0.12739419607880514</v>
      </c>
      <c r="R47">
        <f t="shared" si="7"/>
        <v>0.10006235037462514</v>
      </c>
      <c r="S47" s="3">
        <f t="shared" si="8"/>
        <v>0.11662089805261411</v>
      </c>
      <c r="T47" s="2">
        <f t="shared" si="9"/>
        <v>0.7759292540518461</v>
      </c>
      <c r="U47" s="3">
        <f t="shared" si="10"/>
        <v>0.19804641827438604</v>
      </c>
      <c r="V47">
        <v>0.71515151515151498</v>
      </c>
      <c r="W47" s="13">
        <f t="shared" si="11"/>
        <v>38.736071133656921</v>
      </c>
      <c r="X47" s="2">
        <f t="shared" si="12"/>
        <v>12.807980847952019</v>
      </c>
      <c r="Y47" s="3">
        <f t="shared" si="13"/>
        <v>17.726376503997344</v>
      </c>
      <c r="Z47" s="13">
        <f t="shared" si="14"/>
        <v>3.917916116901567</v>
      </c>
      <c r="AA47" s="2">
        <f t="shared" si="15"/>
        <v>0.25523772591405991</v>
      </c>
      <c r="AB47" s="3">
        <f t="shared" si="16"/>
        <v>0.24990217991136016</v>
      </c>
      <c r="AC47">
        <f t="shared" si="17"/>
        <v>5.5951037335367791E-2</v>
      </c>
      <c r="AD47" s="2">
        <f t="shared" si="18"/>
        <v>26817790.667184699</v>
      </c>
      <c r="AE47">
        <f t="shared" si="19"/>
        <v>8867232.5095779859</v>
      </c>
      <c r="AF47" s="3">
        <f t="shared" si="20"/>
        <v>12272340.494512694</v>
      </c>
      <c r="AG47">
        <f t="shared" si="21"/>
        <v>-17950558.157606713</v>
      </c>
      <c r="AI47" s="2">
        <f t="shared" si="22"/>
        <v>-816.10966561624639</v>
      </c>
      <c r="AJ47" s="2">
        <f t="shared" si="23"/>
        <v>-661.29879485818731</v>
      </c>
      <c r="AK47">
        <f t="shared" si="24"/>
        <v>-14545450.172672004</v>
      </c>
      <c r="AO47" s="2">
        <f t="shared" si="25"/>
        <v>185.50843696912696</v>
      </c>
      <c r="AP47" s="3">
        <f t="shared" si="26"/>
        <v>171.21730721891316</v>
      </c>
    </row>
    <row r="48" spans="1:42" ht="14.65" thickBot="1" x14ac:dyDescent="0.5">
      <c r="A48" s="2">
        <v>0.70099999999999996</v>
      </c>
      <c r="B48" s="4">
        <f t="shared" si="27"/>
        <v>55000</v>
      </c>
      <c r="C48">
        <v>0.74444444444444402</v>
      </c>
      <c r="D48" s="5">
        <f t="shared" si="1"/>
        <v>1</v>
      </c>
      <c r="F48" s="2">
        <v>389.97</v>
      </c>
      <c r="G48" s="3">
        <v>2.8650000000000003E-4</v>
      </c>
      <c r="H48">
        <v>1.7591192124955999E-2</v>
      </c>
      <c r="I48">
        <v>0.31350851536555102</v>
      </c>
      <c r="J48">
        <v>-1.0693831438342001E-2</v>
      </c>
      <c r="K48" s="13">
        <v>968.07579999999996</v>
      </c>
      <c r="L48">
        <f t="shared" si="2"/>
        <v>720.67865111111064</v>
      </c>
      <c r="M48">
        <f t="shared" si="3"/>
        <v>74.400858127470016</v>
      </c>
      <c r="N48" s="2">
        <f t="shared" si="4"/>
        <v>0.75183635697622853</v>
      </c>
      <c r="O48">
        <f t="shared" si="5"/>
        <v>0.83516952750626028</v>
      </c>
      <c r="P48" s="4">
        <f t="shared" si="6"/>
        <v>9.059753850297704E-2</v>
      </c>
      <c r="Q48">
        <f t="shared" si="0"/>
        <v>0.13088684725085542</v>
      </c>
      <c r="R48">
        <f t="shared" si="7"/>
        <v>0.10165545136483106</v>
      </c>
      <c r="S48" s="3">
        <f t="shared" si="8"/>
        <v>0.11959377378631773</v>
      </c>
      <c r="T48" s="2">
        <f t="shared" si="9"/>
        <v>0.71606700972081427</v>
      </c>
      <c r="U48" s="3">
        <f t="shared" si="10"/>
        <v>0.17068579871053541</v>
      </c>
      <c r="V48">
        <v>0.74444444444444402</v>
      </c>
      <c r="W48" s="13">
        <f t="shared" si="11"/>
        <v>36.175490319216671</v>
      </c>
      <c r="X48" s="2">
        <f t="shared" si="12"/>
        <v>13.011897774698376</v>
      </c>
      <c r="Y48" s="3">
        <f t="shared" si="13"/>
        <v>18.178253615520294</v>
      </c>
      <c r="Z48" s="13">
        <f t="shared" si="14"/>
        <v>4.1952348416237379</v>
      </c>
      <c r="AA48" s="2">
        <f t="shared" si="15"/>
        <v>0.23836567862145153</v>
      </c>
      <c r="AB48" s="3">
        <f t="shared" si="16"/>
        <v>0.23399909718304623</v>
      </c>
      <c r="AC48">
        <f t="shared" si="17"/>
        <v>5.0196422862593321E-2</v>
      </c>
      <c r="AD48" s="2">
        <f t="shared" si="18"/>
        <v>26070903.56653611</v>
      </c>
      <c r="AE48">
        <f t="shared" si="19"/>
        <v>9377396.9366652872</v>
      </c>
      <c r="AF48" s="3">
        <f t="shared" si="20"/>
        <v>13100679.295188835</v>
      </c>
      <c r="AG48">
        <f t="shared" si="21"/>
        <v>-16693506.629870821</v>
      </c>
      <c r="AI48" s="2">
        <f t="shared" si="22"/>
        <v>-758.95869053482807</v>
      </c>
      <c r="AJ48" s="2">
        <f t="shared" si="23"/>
        <v>-589.68224275362729</v>
      </c>
      <c r="AK48">
        <f t="shared" si="24"/>
        <v>-12970224.271347273</v>
      </c>
      <c r="AO48" s="2">
        <f t="shared" si="25"/>
        <v>180.34194654666041</v>
      </c>
      <c r="AP48" s="3">
        <f t="shared" si="26"/>
        <v>167.10338170154944</v>
      </c>
    </row>
    <row r="49" spans="1:42" ht="14.65" thickBot="1" x14ac:dyDescent="0.5">
      <c r="A49" s="2">
        <v>0.70099999999999996</v>
      </c>
      <c r="B49" s="4">
        <f t="shared" si="27"/>
        <v>55000</v>
      </c>
      <c r="C49">
        <v>0.77373737373737395</v>
      </c>
      <c r="D49" s="5">
        <f t="shared" si="1"/>
        <v>1</v>
      </c>
      <c r="F49" s="2">
        <v>389.97</v>
      </c>
      <c r="G49" s="3">
        <v>2.8650000000000003E-4</v>
      </c>
      <c r="H49">
        <v>1.7591192124955999E-2</v>
      </c>
      <c r="I49">
        <v>0.31350851536555102</v>
      </c>
      <c r="J49">
        <v>-1.0693831438342001E-2</v>
      </c>
      <c r="K49" s="13">
        <v>968.07579999999996</v>
      </c>
      <c r="L49">
        <f t="shared" si="2"/>
        <v>749.03642707070719</v>
      </c>
      <c r="M49">
        <f t="shared" si="3"/>
        <v>80.371210270545404</v>
      </c>
      <c r="N49" s="2">
        <f t="shared" si="4"/>
        <v>0.75183635697622853</v>
      </c>
      <c r="O49">
        <f t="shared" si="5"/>
        <v>0.84185665969512335</v>
      </c>
      <c r="P49" s="4">
        <f t="shared" si="6"/>
        <v>9.059753850297704E-2</v>
      </c>
      <c r="Q49">
        <f t="shared" si="0"/>
        <v>0.1345917060156247</v>
      </c>
      <c r="R49">
        <f t="shared" si="7"/>
        <v>0.10335011607381606</v>
      </c>
      <c r="S49" s="3">
        <f t="shared" si="8"/>
        <v>0.12275270424336281</v>
      </c>
      <c r="T49" s="2">
        <f t="shared" si="9"/>
        <v>0.66287417870979459</v>
      </c>
      <c r="U49" s="3">
        <f t="shared" si="10"/>
        <v>0.14825885149002133</v>
      </c>
      <c r="V49">
        <v>0.77373737373737395</v>
      </c>
      <c r="W49" s="13">
        <f t="shared" si="11"/>
        <v>33.943782230093866</v>
      </c>
      <c r="X49" s="2">
        <f t="shared" si="12"/>
        <v>13.228814857448455</v>
      </c>
      <c r="Y49" s="3">
        <f t="shared" si="13"/>
        <v>18.658411044991144</v>
      </c>
      <c r="Z49" s="13">
        <f t="shared" si="14"/>
        <v>4.4710597178368801</v>
      </c>
      <c r="AA49" s="2">
        <f t="shared" si="15"/>
        <v>0.22366062256126715</v>
      </c>
      <c r="AB49" s="3">
        <f t="shared" si="16"/>
        <v>0.22003923853287163</v>
      </c>
      <c r="AC49">
        <f t="shared" si="17"/>
        <v>4.5316597435507172E-2</v>
      </c>
      <c r="AD49" s="2">
        <f t="shared" si="18"/>
        <v>25425129.362895671</v>
      </c>
      <c r="AE49">
        <f t="shared" si="19"/>
        <v>9908864.2152030766</v>
      </c>
      <c r="AF49" s="3">
        <f t="shared" si="20"/>
        <v>13975829.543956786</v>
      </c>
      <c r="AG49">
        <f t="shared" si="21"/>
        <v>-15516265.147692593</v>
      </c>
      <c r="AI49" s="2">
        <f t="shared" si="22"/>
        <v>-705.43622377170311</v>
      </c>
      <c r="AJ49" s="2">
        <f t="shared" si="23"/>
        <v>-520.53446832876364</v>
      </c>
      <c r="AK49">
        <f t="shared" si="24"/>
        <v>-11449299.818938881</v>
      </c>
      <c r="AO49" s="2">
        <f t="shared" si="25"/>
        <v>175.87489090292655</v>
      </c>
      <c r="AP49" s="3">
        <f t="shared" si="26"/>
        <v>163.49061971785451</v>
      </c>
    </row>
    <row r="50" spans="1:42" ht="14.65" thickBot="1" x14ac:dyDescent="0.5">
      <c r="A50" s="2">
        <v>0.70099999999999996</v>
      </c>
      <c r="B50" s="4">
        <f t="shared" si="27"/>
        <v>55000</v>
      </c>
      <c r="C50">
        <v>0.80303030303030298</v>
      </c>
      <c r="D50" s="5">
        <f t="shared" si="1"/>
        <v>1</v>
      </c>
      <c r="F50" s="2">
        <v>389.97</v>
      </c>
      <c r="G50" s="3">
        <v>2.8650000000000003E-4</v>
      </c>
      <c r="H50">
        <v>1.7591192124955999E-2</v>
      </c>
      <c r="I50">
        <v>0.31350851536555102</v>
      </c>
      <c r="J50">
        <v>-1.0693831438342001E-2</v>
      </c>
      <c r="K50" s="13">
        <v>968.07579999999996</v>
      </c>
      <c r="L50">
        <f t="shared" si="2"/>
        <v>777.39420303030295</v>
      </c>
      <c r="M50">
        <f t="shared" si="3"/>
        <v>86.571955244158431</v>
      </c>
      <c r="N50" s="2">
        <f t="shared" si="4"/>
        <v>0.75183635697622853</v>
      </c>
      <c r="O50">
        <f t="shared" si="5"/>
        <v>0.84880184488927846</v>
      </c>
      <c r="P50" s="4">
        <f t="shared" si="6"/>
        <v>9.059753850297704E-2</v>
      </c>
      <c r="Q50">
        <f t="shared" si="0"/>
        <v>0.13851820931634992</v>
      </c>
      <c r="R50">
        <f t="shared" si="7"/>
        <v>0.1051479134355929</v>
      </c>
      <c r="S50" s="3">
        <f t="shared" si="8"/>
        <v>0.12610532135026237</v>
      </c>
      <c r="T50" s="2">
        <f t="shared" si="9"/>
        <v>0.61539559606509953</v>
      </c>
      <c r="U50" s="3">
        <f t="shared" si="10"/>
        <v>0.12973961060389549</v>
      </c>
      <c r="V50">
        <v>0.80303030303030298</v>
      </c>
      <c r="W50" s="13">
        <f t="shared" si="11"/>
        <v>31.9955005775162</v>
      </c>
      <c r="X50" s="2">
        <f t="shared" si="12"/>
        <v>13.458932919755892</v>
      </c>
      <c r="Y50" s="3">
        <f t="shared" si="13"/>
        <v>19.168008845239882</v>
      </c>
      <c r="Z50" s="13">
        <f t="shared" si="14"/>
        <v>4.7433131115519318</v>
      </c>
      <c r="AA50" s="2">
        <f t="shared" si="15"/>
        <v>0.2108231053869469</v>
      </c>
      <c r="AB50" s="3">
        <f t="shared" si="16"/>
        <v>0.20778040317767069</v>
      </c>
      <c r="AC50">
        <f t="shared" si="17"/>
        <v>4.1157369649525169E-2</v>
      </c>
      <c r="AD50" s="2">
        <f t="shared" si="18"/>
        <v>24873116.672013804</v>
      </c>
      <c r="AE50">
        <f t="shared" si="19"/>
        <v>10462896.430791939</v>
      </c>
      <c r="AF50" s="3">
        <f t="shared" si="20"/>
        <v>14901098.959923057</v>
      </c>
      <c r="AG50">
        <f t="shared" si="21"/>
        <v>-14410220.241221864</v>
      </c>
      <c r="AI50" s="2">
        <f t="shared" si="22"/>
        <v>-655.1506598994805</v>
      </c>
      <c r="AJ50" s="2">
        <f t="shared" si="23"/>
        <v>-453.37086284890836</v>
      </c>
      <c r="AK50">
        <f t="shared" si="24"/>
        <v>-9972017.7120907474</v>
      </c>
      <c r="AO50" s="2">
        <f t="shared" si="25"/>
        <v>172.056417832439</v>
      </c>
      <c r="AP50" s="3">
        <f t="shared" si="26"/>
        <v>160.36752588962167</v>
      </c>
    </row>
    <row r="51" spans="1:42" ht="14.65" thickBot="1" x14ac:dyDescent="0.5">
      <c r="A51" s="2">
        <v>0.70099999999999996</v>
      </c>
      <c r="B51" s="4">
        <f t="shared" si="27"/>
        <v>55000</v>
      </c>
      <c r="C51">
        <v>0.83232323232323202</v>
      </c>
      <c r="D51" s="5">
        <f t="shared" si="1"/>
        <v>1</v>
      </c>
      <c r="F51" s="2">
        <v>389.97</v>
      </c>
      <c r="G51" s="3">
        <v>2.8650000000000003E-4</v>
      </c>
      <c r="H51">
        <v>1.7591192124955999E-2</v>
      </c>
      <c r="I51">
        <v>0.31350851536555102</v>
      </c>
      <c r="J51">
        <v>-1.0693831438342001E-2</v>
      </c>
      <c r="K51" s="13">
        <v>968.07579999999996</v>
      </c>
      <c r="L51">
        <f t="shared" si="2"/>
        <v>805.7519789898987</v>
      </c>
      <c r="M51">
        <f t="shared" si="3"/>
        <v>93.003093048309296</v>
      </c>
      <c r="N51" s="2">
        <f t="shared" si="4"/>
        <v>0.75183635697622853</v>
      </c>
      <c r="O51">
        <f t="shared" si="5"/>
        <v>0.85600508308872547</v>
      </c>
      <c r="P51" s="4">
        <f t="shared" si="6"/>
        <v>9.059753850297704E-2</v>
      </c>
      <c r="Q51">
        <f t="shared" si="0"/>
        <v>0.14267634300306381</v>
      </c>
      <c r="R51">
        <f t="shared" si="7"/>
        <v>0.10705049250775335</v>
      </c>
      <c r="S51" s="3">
        <f t="shared" si="8"/>
        <v>0.12965973045723764</v>
      </c>
      <c r="T51" s="2">
        <f t="shared" si="9"/>
        <v>0.57284116316783618</v>
      </c>
      <c r="U51" s="3">
        <f t="shared" si="10"/>
        <v>0.11434220351854653</v>
      </c>
      <c r="V51">
        <v>0.83232323232323202</v>
      </c>
      <c r="W51" s="13">
        <f t="shared" si="11"/>
        <v>30.293052849473892</v>
      </c>
      <c r="X51" s="2">
        <f t="shared" si="12"/>
        <v>13.702463040992429</v>
      </c>
      <c r="Y51" s="3">
        <f t="shared" si="13"/>
        <v>19.708279029500122</v>
      </c>
      <c r="Z51" s="13">
        <f t="shared" si="14"/>
        <v>5.0098838883660326</v>
      </c>
      <c r="AA51" s="2">
        <f t="shared" si="15"/>
        <v>0.19960542445348944</v>
      </c>
      <c r="AB51" s="3">
        <f t="shared" si="16"/>
        <v>0.19701613151314606</v>
      </c>
      <c r="AC51">
        <f t="shared" si="17"/>
        <v>3.7596001796296748E-2</v>
      </c>
      <c r="AD51" s="2">
        <f t="shared" si="18"/>
        <v>24408687.283109177</v>
      </c>
      <c r="AE51">
        <f t="shared" si="19"/>
        <v>11040786.712315595</v>
      </c>
      <c r="AF51" s="3">
        <f t="shared" si="20"/>
        <v>15879984.830504844</v>
      </c>
      <c r="AG51">
        <f t="shared" si="21"/>
        <v>-13367900.570793582</v>
      </c>
      <c r="AI51" s="2">
        <f t="shared" si="22"/>
        <v>-607.76231964678527</v>
      </c>
      <c r="AJ51" s="2">
        <f t="shared" si="23"/>
        <v>-387.75153650505678</v>
      </c>
      <c r="AK51">
        <f t="shared" si="24"/>
        <v>-8528702.4526043348</v>
      </c>
      <c r="AO51" s="2">
        <f t="shared" si="25"/>
        <v>168.84379039838092</v>
      </c>
      <c r="AP51" s="3">
        <f t="shared" si="26"/>
        <v>157.72116447412574</v>
      </c>
    </row>
    <row r="52" spans="1:42" ht="14.65" thickBot="1" x14ac:dyDescent="0.5">
      <c r="A52" s="2">
        <v>0.70099999999999996</v>
      </c>
      <c r="B52" s="4">
        <f t="shared" si="27"/>
        <v>55000</v>
      </c>
      <c r="C52">
        <v>0.86161616161616195</v>
      </c>
      <c r="D52" s="5">
        <f t="shared" si="1"/>
        <v>1</v>
      </c>
      <c r="F52" s="2">
        <v>389.97</v>
      </c>
      <c r="G52" s="3">
        <v>2.8650000000000003E-4</v>
      </c>
      <c r="H52">
        <v>1.7591192124955999E-2</v>
      </c>
      <c r="I52">
        <v>0.31350851536555102</v>
      </c>
      <c r="J52">
        <v>-1.0693831438342001E-2</v>
      </c>
      <c r="K52" s="13">
        <v>968.07579999999996</v>
      </c>
      <c r="L52">
        <f t="shared" si="2"/>
        <v>834.10975494949525</v>
      </c>
      <c r="M52">
        <f t="shared" si="3"/>
        <v>99.664623682998197</v>
      </c>
      <c r="N52" s="2">
        <f t="shared" si="4"/>
        <v>0.75183635697622853</v>
      </c>
      <c r="O52">
        <f t="shared" si="5"/>
        <v>0.86346637429346484</v>
      </c>
      <c r="P52" s="4">
        <f t="shared" si="6"/>
        <v>9.059753850297704E-2</v>
      </c>
      <c r="Q52">
        <f t="shared" si="0"/>
        <v>0.14707666391873359</v>
      </c>
      <c r="R52">
        <f t="shared" si="7"/>
        <v>0.10905957473004274</v>
      </c>
      <c r="S52" s="3">
        <f t="shared" si="8"/>
        <v>0.1334245253197526</v>
      </c>
      <c r="T52" s="2">
        <f t="shared" si="9"/>
        <v>0.53455276337022239</v>
      </c>
      <c r="U52" s="3">
        <f t="shared" si="10"/>
        <v>0.10145878513099608</v>
      </c>
      <c r="V52">
        <v>0.86161616161616195</v>
      </c>
      <c r="W52" s="13">
        <f t="shared" si="11"/>
        <v>28.80512617261925</v>
      </c>
      <c r="X52" s="2">
        <f t="shared" si="12"/>
        <v>13.959625565445471</v>
      </c>
      <c r="Y52" s="3">
        <f t="shared" si="13"/>
        <v>20.280527848602397</v>
      </c>
      <c r="Z52" s="13">
        <f t="shared" si="14"/>
        <v>5.2686690726687431</v>
      </c>
      <c r="AA52" s="2">
        <f t="shared" si="15"/>
        <v>0.18980125458771113</v>
      </c>
      <c r="AB52" s="3">
        <f t="shared" si="16"/>
        <v>0.18757011883906738</v>
      </c>
      <c r="AC52">
        <f t="shared" si="17"/>
        <v>3.4533975896689252E-2</v>
      </c>
      <c r="AD52" s="2">
        <f t="shared" si="18"/>
        <v>24026636.733132735</v>
      </c>
      <c r="AE52">
        <f t="shared" si="19"/>
        <v>11643859.859580431</v>
      </c>
      <c r="AF52" s="3">
        <f t="shared" si="20"/>
        <v>16916186.11404416</v>
      </c>
      <c r="AG52">
        <f t="shared" si="21"/>
        <v>-12382776.873552304</v>
      </c>
      <c r="AI52" s="2">
        <f t="shared" si="22"/>
        <v>-562.97435461041493</v>
      </c>
      <c r="AJ52" s="2">
        <f t="shared" si="23"/>
        <v>-323.27170142429105</v>
      </c>
      <c r="AK52">
        <f t="shared" si="24"/>
        <v>-7110450.6190885752</v>
      </c>
      <c r="AO52" s="2">
        <f t="shared" si="25"/>
        <v>166.2010074320701</v>
      </c>
      <c r="AP52" s="3">
        <f t="shared" si="26"/>
        <v>155.53826952959147</v>
      </c>
    </row>
    <row r="53" spans="1:42" ht="14.65" thickBot="1" x14ac:dyDescent="0.5">
      <c r="A53" s="2">
        <v>0.70099999999999996</v>
      </c>
      <c r="B53" s="4">
        <f t="shared" si="27"/>
        <v>55000</v>
      </c>
      <c r="C53">
        <v>0.89090909090909098</v>
      </c>
      <c r="D53" s="5">
        <f t="shared" si="1"/>
        <v>1</v>
      </c>
      <c r="F53" s="2">
        <v>389.97</v>
      </c>
      <c r="G53" s="3">
        <v>2.8650000000000003E-4</v>
      </c>
      <c r="H53">
        <v>1.7591192124955999E-2</v>
      </c>
      <c r="I53">
        <v>0.31350851536555102</v>
      </c>
      <c r="J53">
        <v>-1.0693831438342001E-2</v>
      </c>
      <c r="K53" s="13">
        <v>968.07579999999996</v>
      </c>
      <c r="L53">
        <f t="shared" si="2"/>
        <v>862.4675309090909</v>
      </c>
      <c r="M53">
        <f t="shared" si="3"/>
        <v>106.55654714822469</v>
      </c>
      <c r="N53" s="2">
        <f t="shared" si="4"/>
        <v>0.75183635697622853</v>
      </c>
      <c r="O53">
        <f t="shared" si="5"/>
        <v>0.87118571850349624</v>
      </c>
      <c r="P53" s="4">
        <f t="shared" si="6"/>
        <v>9.059753850297704E-2</v>
      </c>
      <c r="Q53">
        <f t="shared" si="0"/>
        <v>0.15173032300468955</v>
      </c>
      <c r="R53">
        <f t="shared" si="7"/>
        <v>0.11117694576525433</v>
      </c>
      <c r="S53" s="3">
        <f t="shared" si="8"/>
        <v>0.13740880419851245</v>
      </c>
      <c r="T53" s="2">
        <f t="shared" si="9"/>
        <v>0.49997866321522982</v>
      </c>
      <c r="U53" s="3">
        <f t="shared" si="10"/>
        <v>9.0614944298163941E-2</v>
      </c>
      <c r="V53">
        <v>0.89090909090909098</v>
      </c>
      <c r="W53" s="13">
        <f t="shared" si="11"/>
        <v>27.505469334618027</v>
      </c>
      <c r="X53" s="2">
        <f t="shared" si="12"/>
        <v>14.230649057952554</v>
      </c>
      <c r="Y53" s="3">
        <f t="shared" si="13"/>
        <v>20.886138238173892</v>
      </c>
      <c r="Z53" s="13">
        <f t="shared" si="14"/>
        <v>5.5176181709065011</v>
      </c>
      <c r="AA53" s="2">
        <f t="shared" si="15"/>
        <v>0.18123762265262147</v>
      </c>
      <c r="AB53" s="3">
        <f t="shared" si="16"/>
        <v>0.17929146115117364</v>
      </c>
      <c r="AC53">
        <f t="shared" si="17"/>
        <v>3.1891599798111431E-2</v>
      </c>
      <c r="AD53" s="2">
        <f>W53*L53*1000</f>
        <v>23722574.223523729</v>
      </c>
      <c r="AE53">
        <f t="shared" si="19"/>
        <v>12273472.75624612</v>
      </c>
      <c r="AF53" s="3">
        <f t="shared" si="20"/>
        <v>18013616.076503787</v>
      </c>
      <c r="AG53">
        <f t="shared" si="21"/>
        <v>-11449101.467277607</v>
      </c>
      <c r="AI53" s="2">
        <f t="shared" si="22"/>
        <v>-520.52545040817665</v>
      </c>
      <c r="AJ53" s="2">
        <f t="shared" si="23"/>
        <v>-259.55381907761114</v>
      </c>
      <c r="AK53">
        <f t="shared" si="24"/>
        <v>-5708958.1470199404</v>
      </c>
      <c r="AO53" s="2">
        <f t="shared" si="25"/>
        <v>164.09769617878712</v>
      </c>
      <c r="AP53" s="3">
        <f t="shared" si="26"/>
        <v>153.80593667884273</v>
      </c>
    </row>
    <row r="54" spans="1:42" ht="14.65" thickBot="1" x14ac:dyDescent="0.5">
      <c r="A54" s="2">
        <v>0.70099999999999996</v>
      </c>
      <c r="B54" s="4">
        <f t="shared" si="27"/>
        <v>55000</v>
      </c>
      <c r="C54">
        <v>0.92020202020202002</v>
      </c>
      <c r="D54" s="5">
        <f t="shared" si="1"/>
        <v>1</v>
      </c>
      <c r="F54" s="2">
        <v>389.97</v>
      </c>
      <c r="G54" s="3">
        <v>2.8650000000000003E-4</v>
      </c>
      <c r="H54">
        <v>1.7591192124955999E-2</v>
      </c>
      <c r="I54">
        <v>0</v>
      </c>
      <c r="J54">
        <v>0</v>
      </c>
      <c r="K54" s="13">
        <v>968.07579999999996</v>
      </c>
      <c r="L54">
        <f t="shared" si="2"/>
        <v>890.82530686868665</v>
      </c>
      <c r="M54">
        <f t="shared" si="3"/>
        <v>113.67886344398907</v>
      </c>
      <c r="N54" s="2">
        <f t="shared" si="4"/>
        <v>0.75183635697622853</v>
      </c>
      <c r="O54">
        <f t="shared" si="5"/>
        <v>0.87916311571881967</v>
      </c>
      <c r="P54" s="4">
        <f t="shared" si="6"/>
        <v>9.059753850297704E-2</v>
      </c>
      <c r="Q54">
        <f t="shared" si="0"/>
        <v>0.15664908944555869</v>
      </c>
      <c r="R54">
        <f t="shared" si="7"/>
        <v>0.11340444687437568</v>
      </c>
      <c r="S54" s="3">
        <f t="shared" si="8"/>
        <v>0.14162218703446672</v>
      </c>
      <c r="T54" s="2">
        <f t="shared" si="9"/>
        <v>0.46865352437526536</v>
      </c>
      <c r="U54" s="3">
        <f t="shared" si="10"/>
        <v>1.7591192124955999E-2</v>
      </c>
      <c r="V54">
        <v>0.92020202020202002</v>
      </c>
      <c r="W54" s="13">
        <v>25</v>
      </c>
      <c r="X54" s="2">
        <f t="shared" si="12"/>
        <v>14.515769199920086</v>
      </c>
      <c r="Y54" s="3">
        <f t="shared" si="13"/>
        <v>21.526572429238943</v>
      </c>
      <c r="Z54" s="13">
        <v>7.2125500000000002</v>
      </c>
      <c r="AA54" s="2">
        <f t="shared" si="15"/>
        <v>0.13864721908340322</v>
      </c>
      <c r="AB54" s="3">
        <f t="shared" si="16"/>
        <v>0.13776891966342569</v>
      </c>
      <c r="AC54">
        <f t="shared" si="17"/>
        <v>2.8063863708448912E-2</v>
      </c>
      <c r="AD54" s="17">
        <v>18542658.698333301</v>
      </c>
      <c r="AE54">
        <f t="shared" si="19"/>
        <v>12931014.551953841</v>
      </c>
      <c r="AF54" s="3">
        <f t="shared" si="20"/>
        <v>19176415.49010779</v>
      </c>
      <c r="AG54">
        <f t="shared" si="21"/>
        <v>-9339618.119763324</v>
      </c>
      <c r="AI54" s="2">
        <f t="shared" si="22"/>
        <v>-424.61925438644511</v>
      </c>
      <c r="AJ54" s="2">
        <f t="shared" si="23"/>
        <v>-140.67643620079784</v>
      </c>
      <c r="AK54">
        <f t="shared" si="24"/>
        <v>-3094217.1816093759</v>
      </c>
      <c r="AO54" s="17">
        <v>128.266308333333</v>
      </c>
      <c r="AP54" s="3">
        <f t="shared" si="26"/>
        <v>122.34017308041128</v>
      </c>
    </row>
    <row r="55" spans="1:42" ht="14.65" thickBot="1" x14ac:dyDescent="0.5">
      <c r="A55" s="2">
        <v>0.70099999999999996</v>
      </c>
      <c r="B55" s="4">
        <f t="shared" si="27"/>
        <v>55000</v>
      </c>
      <c r="C55">
        <v>0.94949494949494895</v>
      </c>
      <c r="D55" s="5">
        <f t="shared" si="1"/>
        <v>1</v>
      </c>
      <c r="F55" s="2">
        <v>389.97</v>
      </c>
      <c r="G55" s="3">
        <v>2.8650000000000003E-4</v>
      </c>
      <c r="H55">
        <v>1.7591192124955999E-2</v>
      </c>
      <c r="I55">
        <v>0</v>
      </c>
      <c r="J55">
        <v>0</v>
      </c>
      <c r="K55" s="13">
        <v>968.07579999999996</v>
      </c>
      <c r="L55">
        <f t="shared" si="2"/>
        <v>919.18308282828229</v>
      </c>
      <c r="M55">
        <f t="shared" si="3"/>
        <v>121.03157257029123</v>
      </c>
      <c r="N55" s="2">
        <f t="shared" si="4"/>
        <v>0.75183635697622853</v>
      </c>
      <c r="O55">
        <f t="shared" si="5"/>
        <v>0.88739856593943522</v>
      </c>
      <c r="P55" s="4">
        <f t="shared" si="6"/>
        <v>9.059753850297704E-2</v>
      </c>
      <c r="Q55">
        <f t="shared" si="0"/>
        <v>0.16184537587439779</v>
      </c>
      <c r="R55">
        <f t="shared" si="7"/>
        <v>0.11574396577684208</v>
      </c>
      <c r="S55" s="3">
        <f t="shared" si="8"/>
        <v>0.14607483366687402</v>
      </c>
      <c r="T55" s="2">
        <f t="shared" si="9"/>
        <v>0.44018266365215586</v>
      </c>
      <c r="U55" s="3">
        <f t="shared" si="10"/>
        <v>1.7591192124955999E-2</v>
      </c>
      <c r="V55">
        <v>0.94949494949494895</v>
      </c>
      <c r="W55" s="13">
        <v>20</v>
      </c>
      <c r="X55" s="2">
        <f t="shared" si="12"/>
        <v>14.815227619435786</v>
      </c>
      <c r="Y55" s="3">
        <f t="shared" si="13"/>
        <v>22.203374717364852</v>
      </c>
      <c r="Z55" s="13">
        <v>8.0901999999999905</v>
      </c>
      <c r="AA55" s="2">
        <f t="shared" si="15"/>
        <v>0.12360633853304012</v>
      </c>
      <c r="AB55" s="3">
        <f t="shared" si="16"/>
        <v>0.12298253947315671</v>
      </c>
      <c r="AC55">
        <f t="shared" si="17"/>
        <v>2.1758450926295293E-2</v>
      </c>
      <c r="AD55" s="17">
        <v>17407241.3866666</v>
      </c>
      <c r="AE55">
        <f t="shared" si="19"/>
        <v>13617906.5960357</v>
      </c>
      <c r="AF55" s="3">
        <f t="shared" si="20"/>
        <v>20408966.421898969</v>
      </c>
      <c r="AG55">
        <f t="shared" si="21"/>
        <v>-4765755.0605299463</v>
      </c>
      <c r="AI55" s="2">
        <f t="shared" si="22"/>
        <v>-216.67174550836285</v>
      </c>
      <c r="AJ55" s="2">
        <f t="shared" si="23"/>
        <v>92.079075218435293</v>
      </c>
      <c r="AK55">
        <f t="shared" si="24"/>
        <v>2025304.7653333195</v>
      </c>
      <c r="AO55" s="17">
        <v>120.412216666666</v>
      </c>
      <c r="AP55" s="3">
        <f t="shared" si="26"/>
        <v>112.75872699580712</v>
      </c>
    </row>
    <row r="56" spans="1:42" ht="14.65" thickBot="1" x14ac:dyDescent="0.5">
      <c r="A56" s="2">
        <v>0.70099999999999996</v>
      </c>
      <c r="B56" s="4">
        <f t="shared" si="27"/>
        <v>55000</v>
      </c>
      <c r="C56">
        <v>0.97878787878787898</v>
      </c>
      <c r="D56" s="5">
        <f t="shared" si="1"/>
        <v>1</v>
      </c>
      <c r="F56" s="2">
        <v>389.97</v>
      </c>
      <c r="G56" s="3">
        <v>2.8650000000000003E-4</v>
      </c>
      <c r="H56">
        <v>1.7591192124955999E-2</v>
      </c>
      <c r="I56">
        <v>0</v>
      </c>
      <c r="J56">
        <v>0</v>
      </c>
      <c r="K56" s="13">
        <v>968.07579999999996</v>
      </c>
      <c r="L56">
        <f t="shared" si="2"/>
        <v>947.54085878787896</v>
      </c>
      <c r="M56">
        <f t="shared" si="3"/>
        <v>128.61467452713151</v>
      </c>
      <c r="N56" s="2">
        <f t="shared" si="4"/>
        <v>0.75183635697622853</v>
      </c>
      <c r="O56">
        <f t="shared" si="5"/>
        <v>0.89589206916534336</v>
      </c>
      <c r="P56" s="4">
        <f t="shared" si="6"/>
        <v>9.059753850297704E-2</v>
      </c>
      <c r="Q56">
        <f t="shared" si="0"/>
        <v>0.16733226465918855</v>
      </c>
      <c r="R56">
        <f t="shared" si="7"/>
        <v>0.11819742694562681</v>
      </c>
      <c r="S56" s="3">
        <f t="shared" si="8"/>
        <v>0.15077746307145978</v>
      </c>
      <c r="T56" s="2">
        <f t="shared" si="9"/>
        <v>0.41422955969741476</v>
      </c>
      <c r="U56" s="3">
        <f t="shared" si="10"/>
        <v>1.7591192124955999E-2</v>
      </c>
      <c r="V56">
        <v>0.97878787878787898</v>
      </c>
      <c r="W56" s="13">
        <v>16</v>
      </c>
      <c r="X56" s="2">
        <f t="shared" si="12"/>
        <v>15.129270649040231</v>
      </c>
      <c r="Y56" s="3">
        <f t="shared" si="13"/>
        <v>22.918174386861885</v>
      </c>
      <c r="Z56" s="13">
        <v>8.9678500000000003</v>
      </c>
      <c r="AA56" s="2">
        <f t="shared" si="15"/>
        <v>0.11150944763795112</v>
      </c>
      <c r="AB56" s="3">
        <f t="shared" si="16"/>
        <v>0.11105068271582355</v>
      </c>
      <c r="AC56">
        <f t="shared" si="17"/>
        <v>1.6885815373141429E-2</v>
      </c>
      <c r="AD56" s="17">
        <v>16271824.074999999</v>
      </c>
      <c r="AE56">
        <f t="shared" si="19"/>
        <v>14335602.103625832</v>
      </c>
      <c r="AF56" s="3">
        <f t="shared" si="20"/>
        <v>21715906.640377481</v>
      </c>
      <c r="AG56">
        <f t="shared" si="21"/>
        <v>-825051.63698023232</v>
      </c>
      <c r="AI56" s="2">
        <f t="shared" si="22"/>
        <v>-37.510399936324163</v>
      </c>
      <c r="AJ56" s="2">
        <f t="shared" si="23"/>
        <v>298.03002252580956</v>
      </c>
      <c r="AK56">
        <f t="shared" si="24"/>
        <v>6555252.8997714203</v>
      </c>
      <c r="AO56" s="17">
        <v>112.558125</v>
      </c>
      <c r="AP56" s="3">
        <f t="shared" si="26"/>
        <v>105.00891556088986</v>
      </c>
    </row>
    <row r="57" spans="1:42" ht="14.65" thickBot="1" x14ac:dyDescent="0.5">
      <c r="A57" s="2">
        <v>0.70099999999999996</v>
      </c>
      <c r="B57" s="4">
        <f t="shared" si="27"/>
        <v>55000</v>
      </c>
      <c r="C57">
        <v>1.0080808080807999</v>
      </c>
      <c r="D57" s="5">
        <f t="shared" si="1"/>
        <v>1</v>
      </c>
      <c r="F57" s="2">
        <v>389.97</v>
      </c>
      <c r="G57" s="3">
        <v>2.8650000000000003E-4</v>
      </c>
      <c r="H57">
        <v>1.7591192124955999E-2</v>
      </c>
      <c r="I57">
        <v>-7.8124721178269999E-3</v>
      </c>
      <c r="J57">
        <v>0</v>
      </c>
      <c r="K57" s="13">
        <v>968.07579999999996</v>
      </c>
      <c r="L57">
        <f t="shared" si="2"/>
        <v>975.89863474746676</v>
      </c>
      <c r="M57">
        <f t="shared" si="3"/>
        <v>136.42816931450713</v>
      </c>
      <c r="N57" s="2">
        <f t="shared" si="4"/>
        <v>0.75183635697622853</v>
      </c>
      <c r="O57">
        <f t="shared" si="5"/>
        <v>0.90464362539654053</v>
      </c>
      <c r="P57" s="4">
        <f t="shared" si="6"/>
        <v>9.059753850297704E-2</v>
      </c>
      <c r="Q57">
        <f t="shared" si="0"/>
        <v>0.17312353529229968</v>
      </c>
      <c r="R57">
        <f t="shared" si="7"/>
        <v>0.12076678128571977</v>
      </c>
      <c r="S57" s="3">
        <f t="shared" si="8"/>
        <v>0.15574137360275103</v>
      </c>
      <c r="T57" s="2">
        <f t="shared" si="9"/>
        <v>0.39050586303172563</v>
      </c>
      <c r="U57" s="3">
        <f t="shared" si="10"/>
        <v>1.6399830524795135E-2</v>
      </c>
      <c r="V57">
        <v>1.0080808080807999</v>
      </c>
      <c r="W57" s="13">
        <v>13</v>
      </c>
      <c r="X57" s="2">
        <f t="shared" si="12"/>
        <v>15.458148004572131</v>
      </c>
      <c r="Y57" s="3">
        <f t="shared" si="13"/>
        <v>23.672688787618156</v>
      </c>
      <c r="Z57" s="13">
        <v>9.8454999999999906</v>
      </c>
      <c r="AA57" s="2">
        <f t="shared" si="15"/>
        <v>0.10156924483266476</v>
      </c>
      <c r="AB57" s="3">
        <f t="shared" si="16"/>
        <v>0.10122211763336111</v>
      </c>
      <c r="AC57">
        <f t="shared" si="17"/>
        <v>1.3321055627220966E-2</v>
      </c>
      <c r="AD57" s="17">
        <v>15136406.7633333</v>
      </c>
      <c r="AE57">
        <f t="shared" si="19"/>
        <v>15085585.533386219</v>
      </c>
      <c r="AF57" s="3">
        <f t="shared" si="20"/>
        <v>23102144.668638222</v>
      </c>
      <c r="AG57">
        <f t="shared" si="21"/>
        <v>2398903.2816691524</v>
      </c>
      <c r="AI57" s="2">
        <f t="shared" si="22"/>
        <v>109.06447241692626</v>
      </c>
      <c r="AJ57" s="2">
        <f t="shared" si="23"/>
        <v>473.5317685210855</v>
      </c>
      <c r="AK57">
        <f t="shared" si="24"/>
        <v>10415462.416921156</v>
      </c>
      <c r="AO57" s="17">
        <v>104.704033333333</v>
      </c>
      <c r="AP57" s="3">
        <f t="shared" si="26"/>
        <v>98.613926538124076</v>
      </c>
    </row>
    <row r="58" spans="1:42" ht="14.65" thickBot="1" x14ac:dyDescent="0.5">
      <c r="A58" s="2">
        <v>0.70099999999999996</v>
      </c>
      <c r="B58" s="4">
        <f t="shared" si="27"/>
        <v>55000</v>
      </c>
      <c r="C58">
        <v>1.03737373737373</v>
      </c>
      <c r="D58" s="5">
        <f t="shared" si="1"/>
        <v>1</v>
      </c>
      <c r="F58" s="2">
        <v>389.97</v>
      </c>
      <c r="G58" s="3">
        <v>2.8650000000000003E-4</v>
      </c>
      <c r="H58">
        <v>1.7591192124955999E-2</v>
      </c>
      <c r="I58">
        <v>0.347885504652374</v>
      </c>
      <c r="J58">
        <v>0</v>
      </c>
      <c r="K58" s="13">
        <v>968.07579999999996</v>
      </c>
      <c r="L58">
        <f t="shared" si="2"/>
        <v>1004.2564107070635</v>
      </c>
      <c r="M58">
        <f t="shared" si="3"/>
        <v>144.47205693242307</v>
      </c>
      <c r="N58" s="2">
        <f t="shared" si="4"/>
        <v>0.75183635697622853</v>
      </c>
      <c r="O58">
        <f t="shared" si="5"/>
        <v>0.91365323463303272</v>
      </c>
      <c r="P58" s="4">
        <f t="shared" si="6"/>
        <v>9.059753850297704E-2</v>
      </c>
      <c r="Q58">
        <f t="shared" si="0"/>
        <v>0.17923369290496594</v>
      </c>
      <c r="R58">
        <f t="shared" si="7"/>
        <v>0.12345399514332996</v>
      </c>
      <c r="S58" s="3">
        <f t="shared" si="8"/>
        <v>0.16097846423029039</v>
      </c>
      <c r="T58" s="2">
        <f t="shared" si="9"/>
        <v>0.36876335210565936</v>
      </c>
      <c r="U58" s="3">
        <f t="shared" si="10"/>
        <v>6.4898892943645578E-2</v>
      </c>
      <c r="V58">
        <v>1.03737373737373</v>
      </c>
      <c r="W58" s="13">
        <v>12</v>
      </c>
      <c r="X58" s="2">
        <f t="shared" si="12"/>
        <v>15.802111378346234</v>
      </c>
      <c r="Y58" s="3">
        <f t="shared" si="13"/>
        <v>24.46872656300414</v>
      </c>
      <c r="Z58" s="13">
        <v>10.72315</v>
      </c>
      <c r="AA58" s="2">
        <f t="shared" si="15"/>
        <v>9.3256179387586666E-2</v>
      </c>
      <c r="AB58" s="3">
        <f t="shared" si="16"/>
        <v>9.2987240525229373E-2</v>
      </c>
      <c r="AC58">
        <f t="shared" si="17"/>
        <v>1.1949139554460199E-2</v>
      </c>
      <c r="AD58" s="17">
        <v>14000989.451666599</v>
      </c>
      <c r="AE58">
        <f t="shared" si="19"/>
        <v>15869371.654411238</v>
      </c>
      <c r="AF58" s="3">
        <f t="shared" si="20"/>
        <v>24572875.512735121</v>
      </c>
      <c r="AG58">
        <f t="shared" si="21"/>
        <v>3818294.7259264761</v>
      </c>
      <c r="AI58" s="2">
        <f t="shared" si="22"/>
        <v>173.5961191089558</v>
      </c>
      <c r="AJ58" s="2">
        <f t="shared" si="23"/>
        <v>569.29488018042969</v>
      </c>
      <c r="AK58">
        <f t="shared" si="24"/>
        <v>12521798.584250359</v>
      </c>
      <c r="AO58" s="2">
        <v>96.849941666666595</v>
      </c>
      <c r="AP58" s="3">
        <f t="shared" si="26"/>
        <v>93.248515873625735</v>
      </c>
    </row>
    <row r="59" spans="1:42" ht="14.65" thickBot="1" x14ac:dyDescent="0.5">
      <c r="A59" s="2">
        <v>0.70099999999999996</v>
      </c>
      <c r="B59" s="4">
        <f t="shared" si="27"/>
        <v>55000</v>
      </c>
      <c r="C59">
        <v>1.06666666666666</v>
      </c>
      <c r="D59" s="5">
        <f t="shared" si="1"/>
        <v>1</v>
      </c>
      <c r="F59" s="2">
        <v>389.97</v>
      </c>
      <c r="G59" s="3">
        <v>2.8650000000000003E-4</v>
      </c>
      <c r="H59">
        <v>1.7591192124955999E-2</v>
      </c>
      <c r="I59">
        <v>8.1485713979185997E-2</v>
      </c>
      <c r="J59">
        <v>0</v>
      </c>
      <c r="K59" s="13">
        <v>968.07579999999996</v>
      </c>
      <c r="L59">
        <f t="shared" si="2"/>
        <v>1032.6141866666601</v>
      </c>
      <c r="M59">
        <f t="shared" si="3"/>
        <v>152.74633738087675</v>
      </c>
      <c r="N59" s="2">
        <f t="shared" si="4"/>
        <v>0.75183635697622853</v>
      </c>
      <c r="O59">
        <f t="shared" si="5"/>
        <v>0.92292089687481704</v>
      </c>
      <c r="P59" s="4">
        <f t="shared" si="6"/>
        <v>9.059753850297704E-2</v>
      </c>
      <c r="Q59">
        <f t="shared" si="0"/>
        <v>0.18567799792920078</v>
      </c>
      <c r="R59">
        <f t="shared" si="7"/>
        <v>0.12626103859185689</v>
      </c>
      <c r="S59" s="3">
        <f t="shared" si="8"/>
        <v>0.16650125676288272</v>
      </c>
      <c r="T59" s="2">
        <f t="shared" si="9"/>
        <v>0.34878741391458035</v>
      </c>
      <c r="U59" s="3">
        <f t="shared" si="10"/>
        <v>2.7504145991097153E-2</v>
      </c>
      <c r="V59">
        <v>1.06666666666666</v>
      </c>
      <c r="W59" s="13">
        <f t="shared" si="11"/>
        <v>11.967627491637737</v>
      </c>
      <c r="X59" s="2">
        <f t="shared" si="12"/>
        <v>16.161412939757682</v>
      </c>
      <c r="Y59" s="3">
        <f t="shared" si="13"/>
        <v>25.30819102795817</v>
      </c>
      <c r="Z59" s="13">
        <f t="shared" si="14"/>
        <v>12.681266818009172</v>
      </c>
      <c r="AA59" s="2">
        <f t="shared" si="15"/>
        <v>7.8856475015560756E-2</v>
      </c>
      <c r="AB59" s="3">
        <f t="shared" si="16"/>
        <v>7.869362994085069E-2</v>
      </c>
      <c r="AC59">
        <f t="shared" si="17"/>
        <v>1.1589640783718021E-2</v>
      </c>
      <c r="AD59" s="2">
        <f t="shared" si="18"/>
        <v>12357941.928607062</v>
      </c>
      <c r="AE59">
        <f t="shared" si="19"/>
        <v>16688504.278171914</v>
      </c>
      <c r="AF59" s="3">
        <f t="shared" si="20"/>
        <v>26133597.09433949</v>
      </c>
      <c r="AG59">
        <f t="shared" si="21"/>
        <v>4330562.3495648513</v>
      </c>
      <c r="AI59" s="2">
        <f t="shared" si="22"/>
        <v>196.88601100885666</v>
      </c>
      <c r="AJ59" s="2">
        <f t="shared" si="23"/>
        <v>626.30059924830357</v>
      </c>
      <c r="AK59">
        <f t="shared" si="24"/>
        <v>13775655.165732428</v>
      </c>
      <c r="AO59" s="2">
        <f t="shared" si="25"/>
        <v>85.484390559298774</v>
      </c>
      <c r="AP59" s="3">
        <f t="shared" si="26"/>
        <v>81.176314848991382</v>
      </c>
    </row>
    <row r="60" spans="1:42" ht="14.65" thickBot="1" x14ac:dyDescent="0.5">
      <c r="A60" s="2">
        <v>0.70099999999999996</v>
      </c>
      <c r="B60" s="4">
        <f t="shared" si="27"/>
        <v>55000</v>
      </c>
      <c r="C60">
        <v>1.09595959595959</v>
      </c>
      <c r="D60" s="5">
        <f t="shared" si="1"/>
        <v>1</v>
      </c>
      <c r="F60" s="2">
        <v>389.97</v>
      </c>
      <c r="G60" s="3">
        <v>2.8650000000000003E-4</v>
      </c>
      <c r="H60">
        <v>1.7591192124955999E-2</v>
      </c>
      <c r="I60">
        <v>6.9707789419606994E-2</v>
      </c>
      <c r="J60">
        <v>0</v>
      </c>
      <c r="K60" s="13">
        <v>968.07579999999996</v>
      </c>
      <c r="L60">
        <f t="shared" si="2"/>
        <v>1060.9719626262568</v>
      </c>
      <c r="M60">
        <f t="shared" si="3"/>
        <v>161.25101065986837</v>
      </c>
      <c r="N60" s="2">
        <f t="shared" si="4"/>
        <v>0.75183635697622853</v>
      </c>
      <c r="O60">
        <f t="shared" si="5"/>
        <v>0.93244661212189339</v>
      </c>
      <c r="P60" s="4">
        <f t="shared" si="6"/>
        <v>9.059753850297704E-2</v>
      </c>
      <c r="Q60">
        <f t="shared" si="0"/>
        <v>0.19247249693002333</v>
      </c>
      <c r="R60">
        <f t="shared" si="7"/>
        <v>0.12918987293939477</v>
      </c>
      <c r="S60" s="3">
        <f t="shared" si="8"/>
        <v>0.17232291905871291</v>
      </c>
      <c r="T60" s="2">
        <f t="shared" si="9"/>
        <v>0.3303917276672248</v>
      </c>
      <c r="U60" s="3">
        <f t="shared" si="10"/>
        <v>2.5200403359477139E-2</v>
      </c>
      <c r="V60">
        <v>1.09595959595959</v>
      </c>
      <c r="W60" s="13">
        <f t="shared" si="11"/>
        <v>11.575747108453774</v>
      </c>
      <c r="X60" s="2">
        <f t="shared" si="12"/>
        <v>16.53630373624253</v>
      </c>
      <c r="Y60" s="3">
        <f t="shared" si="13"/>
        <v>26.193083696924365</v>
      </c>
      <c r="Z60" s="13">
        <f t="shared" si="14"/>
        <v>13.110572991799915</v>
      </c>
      <c r="AA60" s="2">
        <f t="shared" si="15"/>
        <v>7.627431696734048E-2</v>
      </c>
      <c r="AB60" s="3">
        <f t="shared" si="16"/>
        <v>7.6126915640584464E-2</v>
      </c>
      <c r="AC60">
        <f t="shared" si="17"/>
        <v>1.0910511791282371E-2</v>
      </c>
      <c r="AD60" s="2">
        <f t="shared" si="18"/>
        <v>12281543.128521416</v>
      </c>
      <c r="AE60">
        <f t="shared" si="19"/>
        <v>17544554.629625142</v>
      </c>
      <c r="AF60" s="3">
        <f t="shared" si="20"/>
        <v>27790127.417159654</v>
      </c>
      <c r="AG60">
        <f t="shared" si="21"/>
        <v>5263011.5011037234</v>
      </c>
      <c r="AI60" s="2">
        <f t="shared" si="22"/>
        <v>239.27916439077916</v>
      </c>
      <c r="AJ60" s="2">
        <f t="shared" si="23"/>
        <v>705.0870188467386</v>
      </c>
      <c r="AK60">
        <f t="shared" si="24"/>
        <v>15508584.288638236</v>
      </c>
      <c r="AO60" s="2">
        <f t="shared" si="25"/>
        <v>84.955912200805685</v>
      </c>
      <c r="AP60" s="3">
        <f t="shared" si="26"/>
        <v>80.690532629858609</v>
      </c>
    </row>
    <row r="61" spans="1:42" ht="14.65" thickBot="1" x14ac:dyDescent="0.5">
      <c r="A61" s="2">
        <v>0.70099999999999996</v>
      </c>
      <c r="B61" s="4">
        <f t="shared" si="27"/>
        <v>55000</v>
      </c>
      <c r="C61">
        <v>1.1252525252525201</v>
      </c>
      <c r="D61" s="5">
        <f t="shared" si="1"/>
        <v>1</v>
      </c>
      <c r="F61" s="2">
        <v>389.97</v>
      </c>
      <c r="G61" s="3">
        <v>2.8650000000000003E-4</v>
      </c>
      <c r="H61">
        <v>1.7591192124955999E-2</v>
      </c>
      <c r="I61">
        <v>6.7768462942261007E-2</v>
      </c>
      <c r="J61">
        <v>0</v>
      </c>
      <c r="K61" s="13">
        <v>968.07579999999996</v>
      </c>
      <c r="L61">
        <f t="shared" si="2"/>
        <v>1089.3297385858534</v>
      </c>
      <c r="M61">
        <f t="shared" si="3"/>
        <v>169.98607676939778</v>
      </c>
      <c r="N61" s="2">
        <f t="shared" si="4"/>
        <v>0.75183635697622853</v>
      </c>
      <c r="O61">
        <f t="shared" si="5"/>
        <v>0.94223038037426188</v>
      </c>
      <c r="P61" s="4">
        <f t="shared" si="6"/>
        <v>9.059753850297704E-2</v>
      </c>
      <c r="Q61">
        <f t="shared" si="0"/>
        <v>0.19963405463118886</v>
      </c>
      <c r="R61">
        <f t="shared" si="7"/>
        <v>0.13224243740114541</v>
      </c>
      <c r="S61" s="3">
        <f t="shared" si="8"/>
        <v>0.17845728922206916</v>
      </c>
      <c r="T61" s="2">
        <f t="shared" si="9"/>
        <v>0.31341390431802207</v>
      </c>
      <c r="U61" s="3">
        <f t="shared" si="10"/>
        <v>2.4247971367629417E-2</v>
      </c>
      <c r="V61">
        <v>1.1252525252525201</v>
      </c>
      <c r="W61" s="13">
        <f t="shared" si="11"/>
        <v>11.741615485184798</v>
      </c>
      <c r="X61" s="2">
        <f t="shared" si="12"/>
        <v>16.927031987346613</v>
      </c>
      <c r="Y61" s="3">
        <f t="shared" si="13"/>
        <v>27.125507961754511</v>
      </c>
      <c r="Z61" s="13">
        <f t="shared" si="14"/>
        <v>12.925365984901472</v>
      </c>
      <c r="AA61" s="2">
        <f t="shared" si="15"/>
        <v>7.7367248336962499E-2</v>
      </c>
      <c r="AB61" s="3">
        <f t="shared" si="16"/>
        <v>7.7213434884453036E-2</v>
      </c>
      <c r="AC61">
        <f t="shared" si="17"/>
        <v>1.0778752355028455E-2</v>
      </c>
      <c r="AD61" s="2">
        <f t="shared" si="18"/>
        <v>12790490.927051965</v>
      </c>
      <c r="AE61">
        <f t="shared" si="19"/>
        <v>18439119.329810668</v>
      </c>
      <c r="AF61" s="3">
        <f t="shared" si="20"/>
        <v>29548622.496986531</v>
      </c>
      <c r="AG61">
        <f t="shared" si="21"/>
        <v>5648628.4027587008</v>
      </c>
      <c r="AI61" s="2">
        <f t="shared" si="22"/>
        <v>256.8109691348148</v>
      </c>
      <c r="AJ61" s="2">
        <f t="shared" si="23"/>
        <v>761.89681857312212</v>
      </c>
      <c r="AK61">
        <f t="shared" si="24"/>
        <v>16758131.569934564</v>
      </c>
      <c r="AO61" s="2">
        <f t="shared" si="25"/>
        <v>88.476489707580285</v>
      </c>
      <c r="AP61" s="3">
        <f t="shared" si="26"/>
        <v>84.027338758081598</v>
      </c>
    </row>
    <row r="62" spans="1:42" ht="14.65" thickBot="1" x14ac:dyDescent="0.5">
      <c r="A62" s="2">
        <v>0.70099999999999996</v>
      </c>
      <c r="B62" s="4">
        <f t="shared" si="27"/>
        <v>55000</v>
      </c>
      <c r="C62">
        <v>1.1545454545454501</v>
      </c>
      <c r="D62" s="5">
        <f t="shared" si="1"/>
        <v>1</v>
      </c>
      <c r="F62" s="2">
        <v>389.97</v>
      </c>
      <c r="G62" s="3">
        <v>2.8650000000000003E-4</v>
      </c>
      <c r="H62">
        <v>1.7591192124955999E-2</v>
      </c>
      <c r="I62">
        <v>6.8340689415613998E-2</v>
      </c>
      <c r="J62">
        <v>0</v>
      </c>
      <c r="K62" s="13">
        <v>968.07579999999996</v>
      </c>
      <c r="L62">
        <f t="shared" si="2"/>
        <v>1117.6875145454501</v>
      </c>
      <c r="M62">
        <f t="shared" si="3"/>
        <v>178.95153570946505</v>
      </c>
      <c r="N62" s="2">
        <f t="shared" si="4"/>
        <v>0.75183635697622853</v>
      </c>
      <c r="O62">
        <f t="shared" si="5"/>
        <v>0.95227220163192261</v>
      </c>
      <c r="P62" s="4">
        <f t="shared" si="6"/>
        <v>9.059753850297704E-2</v>
      </c>
      <c r="Q62">
        <f t="shared" si="0"/>
        <v>0.20718038715801337</v>
      </c>
      <c r="R62">
        <f t="shared" si="7"/>
        <v>0.13542063487873809</v>
      </c>
      <c r="S62" s="3">
        <f t="shared" si="8"/>
        <v>0.18491890078986073</v>
      </c>
      <c r="T62" s="2">
        <f t="shared" si="9"/>
        <v>0.29771189047796554</v>
      </c>
      <c r="U62" s="3">
        <f t="shared" si="10"/>
        <v>2.3648389376978027E-2</v>
      </c>
      <c r="V62">
        <v>1.1545454545454501</v>
      </c>
      <c r="W62" s="13">
        <f t="shared" si="11"/>
        <v>12.055246362732321</v>
      </c>
      <c r="X62" s="2">
        <f t="shared" si="12"/>
        <v>17.333841264478476</v>
      </c>
      <c r="Y62" s="3">
        <f t="shared" si="13"/>
        <v>28.107672920058832</v>
      </c>
      <c r="Z62" s="13">
        <f t="shared" si="14"/>
        <v>12.589097960632845</v>
      </c>
      <c r="AA62" s="2">
        <f t="shared" si="15"/>
        <v>7.9433808770658795E-2</v>
      </c>
      <c r="AB62" s="3">
        <f t="shared" si="16"/>
        <v>7.9267369800615023E-2</v>
      </c>
      <c r="AC62">
        <f t="shared" si="17"/>
        <v>1.0785882642372581E-2</v>
      </c>
      <c r="AD62" s="2">
        <f t="shared" si="18"/>
        <v>13473998.344395366</v>
      </c>
      <c r="AE62">
        <f t="shared" si="19"/>
        <v>19373817.96042031</v>
      </c>
      <c r="AF62" s="3">
        <f t="shared" si="20"/>
        <v>31415595.085677009</v>
      </c>
      <c r="AG62">
        <f t="shared" si="21"/>
        <v>5899819.6160249449</v>
      </c>
      <c r="AI62" s="2">
        <f t="shared" si="22"/>
        <v>268.23120327263644</v>
      </c>
      <c r="AJ62" s="2">
        <f t="shared" si="23"/>
        <v>815.70224104391343</v>
      </c>
      <c r="AK62">
        <f t="shared" si="24"/>
        <v>17941596.741281644</v>
      </c>
      <c r="AO62" s="2">
        <f t="shared" si="25"/>
        <v>93.204559749656198</v>
      </c>
      <c r="AP62" s="3">
        <f t="shared" si="26"/>
        <v>88.503399081420369</v>
      </c>
    </row>
    <row r="63" spans="1:42" ht="14.65" thickBot="1" x14ac:dyDescent="0.5">
      <c r="A63" s="2">
        <v>0.70099999999999996</v>
      </c>
      <c r="B63" s="4">
        <f t="shared" si="27"/>
        <v>55000</v>
      </c>
      <c r="C63">
        <v>1.1838383838383799</v>
      </c>
      <c r="D63" s="5">
        <f t="shared" si="1"/>
        <v>1</v>
      </c>
      <c r="F63" s="2">
        <v>389.97</v>
      </c>
      <c r="G63" s="3">
        <v>2.8650000000000003E-4</v>
      </c>
      <c r="H63">
        <v>1.7591192124955999E-2</v>
      </c>
      <c r="I63">
        <v>6.9861491244209997E-2</v>
      </c>
      <c r="J63">
        <v>0</v>
      </c>
      <c r="K63" s="13">
        <v>968.07579999999996</v>
      </c>
      <c r="L63">
        <f t="shared" si="2"/>
        <v>1146.0452905050468</v>
      </c>
      <c r="M63">
        <f t="shared" si="3"/>
        <v>188.14738748007019</v>
      </c>
      <c r="N63" s="2">
        <f t="shared" si="4"/>
        <v>0.75183635697622853</v>
      </c>
      <c r="O63">
        <f t="shared" si="5"/>
        <v>0.96257207589487537</v>
      </c>
      <c r="P63" s="4">
        <f t="shared" si="6"/>
        <v>9.059753850297704E-2</v>
      </c>
      <c r="Q63">
        <f t="shared" si="0"/>
        <v>0.21513009652121359</v>
      </c>
      <c r="R63">
        <f t="shared" si="7"/>
        <v>0.13872631678701317</v>
      </c>
      <c r="S63" s="3">
        <f t="shared" si="8"/>
        <v>0.19172300891310931</v>
      </c>
      <c r="T63" s="2">
        <f t="shared" si="9"/>
        <v>0.28316098731715494</v>
      </c>
      <c r="U63" s="3">
        <f t="shared" si="10"/>
        <v>2.3192696604559037E-2</v>
      </c>
      <c r="V63">
        <v>1.1838383838383799</v>
      </c>
      <c r="W63" s="13">
        <f t="shared" si="11"/>
        <v>12.430498111961249</v>
      </c>
      <c r="X63" s="2">
        <f t="shared" si="12"/>
        <v>17.756968548737685</v>
      </c>
      <c r="Y63" s="3">
        <f t="shared" si="13"/>
        <v>29.141897354792615</v>
      </c>
      <c r="Z63" s="13">
        <f t="shared" si="14"/>
        <v>12.209058400802492</v>
      </c>
      <c r="AA63" s="2">
        <f t="shared" si="15"/>
        <v>8.1906398280007467E-2</v>
      </c>
      <c r="AB63" s="3">
        <f t="shared" si="16"/>
        <v>8.1723971349357521E-2</v>
      </c>
      <c r="AC63">
        <f t="shared" si="17"/>
        <v>1.0846428334855157E-2</v>
      </c>
      <c r="AD63" s="2">
        <f t="shared" si="18"/>
        <v>14245913.819845065</v>
      </c>
      <c r="AE63">
        <f t="shared" si="19"/>
        <v>20350290.178927056</v>
      </c>
      <c r="AF63" s="3">
        <f t="shared" si="20"/>
        <v>33397934.219841555</v>
      </c>
      <c r="AG63">
        <f t="shared" si="21"/>
        <v>6104376.3590819929</v>
      </c>
      <c r="AI63" s="2">
        <f t="shared" si="22"/>
        <v>277.53123359537562</v>
      </c>
      <c r="AJ63" s="2">
        <f t="shared" si="23"/>
        <v>870.73331242868596</v>
      </c>
      <c r="AK63">
        <f t="shared" si="24"/>
        <v>19152020.399996489</v>
      </c>
      <c r="AO63" s="2">
        <f t="shared" si="25"/>
        <v>98.544180567047974</v>
      </c>
      <c r="AP63" s="3">
        <f t="shared" si="26"/>
        <v>93.555151809420749</v>
      </c>
    </row>
    <row r="64" spans="1:42" ht="14.65" thickBot="1" x14ac:dyDescent="0.5">
      <c r="A64" s="2">
        <v>0.70099999999999996</v>
      </c>
      <c r="B64" s="4">
        <f t="shared" si="27"/>
        <v>55000</v>
      </c>
      <c r="C64">
        <v>1.21313131313131</v>
      </c>
      <c r="D64" s="5">
        <f t="shared" si="1"/>
        <v>1</v>
      </c>
      <c r="F64" s="2">
        <v>389.97</v>
      </c>
      <c r="G64" s="3">
        <v>2.8650000000000003E-4</v>
      </c>
      <c r="H64">
        <v>1.7591192124955999E-2</v>
      </c>
      <c r="I64">
        <v>7.1810239505036996E-2</v>
      </c>
      <c r="J64">
        <v>0</v>
      </c>
      <c r="K64" s="13">
        <v>968.07579999999996</v>
      </c>
      <c r="L64">
        <f t="shared" si="2"/>
        <v>1174.4030664646434</v>
      </c>
      <c r="M64">
        <f t="shared" si="3"/>
        <v>197.57363208121313</v>
      </c>
      <c r="N64" s="2">
        <f t="shared" si="4"/>
        <v>0.75183635697622853</v>
      </c>
      <c r="O64">
        <f t="shared" si="5"/>
        <v>0.97313000316312037</v>
      </c>
      <c r="P64" s="4">
        <f t="shared" si="6"/>
        <v>9.059753850297704E-2</v>
      </c>
      <c r="Q64">
        <f t="shared" si="0"/>
        <v>0.22350270636601485</v>
      </c>
      <c r="R64">
        <f>Q64*(1-0.3*C64^1-0.3*((O64-1)/O64))</f>
        <v>0.14401266914461375</v>
      </c>
      <c r="S64" s="3">
        <f>Q64*(1-0.1 * C64^0.5 - 1.9*(O64-1)/O64)</f>
        <v>0.21061116529623924</v>
      </c>
      <c r="T64" s="2">
        <f t="shared" si="9"/>
        <v>0.26965136713233456</v>
      </c>
      <c r="U64" s="3">
        <f t="shared" si="10"/>
        <v>2.2812648191787636E-2</v>
      </c>
      <c r="V64">
        <v>1.21313131313131</v>
      </c>
      <c r="W64" s="13">
        <f t="shared" si="11"/>
        <v>12.83937192785398</v>
      </c>
      <c r="X64" s="2">
        <f t="shared" si="12"/>
        <v>18.43362165051056</v>
      </c>
      <c r="Y64" s="3">
        <f t="shared" si="13"/>
        <v>32.012897125028367</v>
      </c>
      <c r="Z64" s="13">
        <f t="shared" si="14"/>
        <v>11.82025711637489</v>
      </c>
      <c r="AA64" s="2">
        <f t="shared" si="15"/>
        <v>8.4600528580268841E-2</v>
      </c>
      <c r="AB64" s="3">
        <f t="shared" si="16"/>
        <v>8.4399555231564366E-2</v>
      </c>
      <c r="AC64">
        <f t="shared" si="17"/>
        <v>1.0932679158021019E-2</v>
      </c>
      <c r="AD64" s="2">
        <f t="shared" si="18"/>
        <v>15078597.763551775</v>
      </c>
      <c r="AE64">
        <f t="shared" si="19"/>
        <v>21648501.792408641</v>
      </c>
      <c r="AF64" s="3">
        <f t="shared" si="20"/>
        <v>37596044.550050482</v>
      </c>
      <c r="AG64">
        <f t="shared" si="21"/>
        <v>6569904.0288568679</v>
      </c>
      <c r="AI64" s="2">
        <f t="shared" si="22"/>
        <v>298.6961259390763</v>
      </c>
      <c r="AJ64" s="2">
        <f t="shared" si="23"/>
        <v>1023.740086860407</v>
      </c>
      <c r="AK64">
        <f t="shared" si="24"/>
        <v>22517446.786498711</v>
      </c>
      <c r="AO64" s="2">
        <f t="shared" si="25"/>
        <v>104.30415903818042</v>
      </c>
      <c r="AP64" s="3">
        <f t="shared" si="26"/>
        <v>99.001462782681216</v>
      </c>
    </row>
    <row r="65" spans="1:42" ht="14.65" thickBot="1" x14ac:dyDescent="0.5">
      <c r="A65" s="2">
        <v>0.70099999999999996</v>
      </c>
      <c r="B65" s="4">
        <f t="shared" si="27"/>
        <v>55000</v>
      </c>
      <c r="C65">
        <v>1.24242424242424</v>
      </c>
      <c r="D65" s="5">
        <f t="shared" si="1"/>
        <v>1</v>
      </c>
      <c r="F65" s="2">
        <v>389.97</v>
      </c>
      <c r="G65" s="3">
        <v>2.8650000000000003E-4</v>
      </c>
      <c r="H65">
        <v>1.7591192124955999E-2</v>
      </c>
      <c r="I65">
        <v>7.3970272631459999E-2</v>
      </c>
      <c r="J65">
        <v>0</v>
      </c>
      <c r="K65" s="13">
        <v>968.07579999999996</v>
      </c>
      <c r="L65">
        <f t="shared" si="2"/>
        <v>1202.7608424242401</v>
      </c>
      <c r="M65">
        <f t="shared" si="3"/>
        <v>207.23026951289395</v>
      </c>
      <c r="N65" s="2">
        <f t="shared" si="4"/>
        <v>0.75183635697622853</v>
      </c>
      <c r="O65">
        <f t="shared" si="5"/>
        <v>0.9839459834366574</v>
      </c>
      <c r="P65" s="4">
        <f t="shared" si="6"/>
        <v>9.059753850297704E-2</v>
      </c>
      <c r="Q65">
        <f t="shared" si="0"/>
        <v>0.23231869901109176</v>
      </c>
      <c r="R65">
        <f>Q65*(1-0.3*C65^1-0.25*((O65-1)/O65))</f>
        <v>0.14667480917710504</v>
      </c>
      <c r="S65" s="3">
        <f t="shared" ref="S65:S125" si="28">Q65*(1-0.1 * C65^0.5 - 1.9*(O65-1)/O65)</f>
        <v>0.21362545952545725</v>
      </c>
      <c r="T65" s="2">
        <f t="shared" si="9"/>
        <v>0.25708599484635203</v>
      </c>
      <c r="U65" s="3">
        <f t="shared" si="10"/>
        <v>2.2480124794995865E-2</v>
      </c>
      <c r="V65">
        <v>1.24242424242424</v>
      </c>
      <c r="W65" s="13">
        <f t="shared" si="11"/>
        <v>13.270613552726944</v>
      </c>
      <c r="X65" s="2">
        <f t="shared" si="12"/>
        <v>18.774375574669445</v>
      </c>
      <c r="Y65" s="3">
        <f t="shared" si="13"/>
        <v>32.471069847869501</v>
      </c>
      <c r="Z65" s="13">
        <f t="shared" si="14"/>
        <v>11.436146248777945</v>
      </c>
      <c r="AA65" s="2">
        <f t="shared" si="15"/>
        <v>8.7442043696044816E-2</v>
      </c>
      <c r="AB65" s="3">
        <f t="shared" si="16"/>
        <v>8.722019671258377E-2</v>
      </c>
      <c r="AC65">
        <f t="shared" si="17"/>
        <v>1.1033459923736118E-2</v>
      </c>
      <c r="AD65" s="2">
        <f t="shared" si="18"/>
        <v>15961374.336164398</v>
      </c>
      <c r="AE65">
        <f t="shared" si="19"/>
        <v>22581083.782178499</v>
      </c>
      <c r="AF65" s="3">
        <f t="shared" si="20"/>
        <v>39054931.324639857</v>
      </c>
      <c r="AG65">
        <f t="shared" si="21"/>
        <v>6619709.4460141007</v>
      </c>
      <c r="AI65" s="2">
        <f t="shared" si="22"/>
        <v>300.96049465592552</v>
      </c>
      <c r="AJ65" s="2">
        <f t="shared" si="23"/>
        <v>1049.9325372658625</v>
      </c>
      <c r="AK65">
        <f t="shared" si="24"/>
        <v>23093556.988475468</v>
      </c>
      <c r="AO65" s="2">
        <f t="shared" si="25"/>
        <v>110.41064648939006</v>
      </c>
      <c r="AP65" s="3">
        <f t="shared" si="26"/>
        <v>104.77207941259117</v>
      </c>
    </row>
    <row r="66" spans="1:42" ht="14.65" thickBot="1" x14ac:dyDescent="0.5">
      <c r="A66" s="2">
        <v>0.70099999999999996</v>
      </c>
      <c r="B66" s="4">
        <f t="shared" si="27"/>
        <v>55000</v>
      </c>
      <c r="C66">
        <v>1.27171717171717</v>
      </c>
      <c r="D66" s="5">
        <f t="shared" si="1"/>
        <v>1</v>
      </c>
      <c r="F66" s="2">
        <v>389.97</v>
      </c>
      <c r="G66" s="3">
        <v>2.8650000000000003E-4</v>
      </c>
      <c r="H66">
        <v>1.7591192124955999E-2</v>
      </c>
      <c r="I66">
        <v>7.6238493876566005E-2</v>
      </c>
      <c r="J66">
        <v>0</v>
      </c>
      <c r="K66" s="13">
        <v>968.07579999999996</v>
      </c>
      <c r="L66">
        <f t="shared" si="2"/>
        <v>1231.1186183838367</v>
      </c>
      <c r="M66">
        <f t="shared" si="3"/>
        <v>217.11729977511263</v>
      </c>
      <c r="N66" s="2">
        <f t="shared" si="4"/>
        <v>0.75183635697622853</v>
      </c>
      <c r="O66">
        <f t="shared" si="5"/>
        <v>0.99502001671548646</v>
      </c>
      <c r="P66" s="4">
        <f t="shared" si="6"/>
        <v>9.059753850297704E-2</v>
      </c>
      <c r="Q66">
        <f t="shared" si="0"/>
        <v>0.24159955380220971</v>
      </c>
      <c r="R66">
        <f t="shared" ref="R66:R125" si="29">Q66*(1-0.3*C66^1-0.25*((O66-1)/O66))</f>
        <v>0.14972795929058286</v>
      </c>
      <c r="S66" s="3">
        <f t="shared" si="28"/>
        <v>0.21665171482714315</v>
      </c>
      <c r="T66" s="2">
        <f t="shared" si="9"/>
        <v>0.24537888070265523</v>
      </c>
      <c r="U66" s="3">
        <f t="shared" si="10"/>
        <v>2.2181572458100783E-2</v>
      </c>
      <c r="V66">
        <v>1.27171717171717</v>
      </c>
      <c r="W66" s="13">
        <f t="shared" si="11"/>
        <v>13.719107278868449</v>
      </c>
      <c r="X66" s="2">
        <f t="shared" si="12"/>
        <v>19.165178789194606</v>
      </c>
      <c r="Y66" s="3">
        <f t="shared" si="13"/>
        <v>32.931060653725766</v>
      </c>
      <c r="Z66" s="13">
        <f t="shared" si="14"/>
        <v>11.06228519939947</v>
      </c>
      <c r="AA66" s="2">
        <f t="shared" si="15"/>
        <v>9.0397235469420564E-2</v>
      </c>
      <c r="AB66" s="3">
        <f t="shared" si="16"/>
        <v>9.0152203911039772E-2</v>
      </c>
      <c r="AC66">
        <f t="shared" si="17"/>
        <v>1.1143611244283142E-2</v>
      </c>
      <c r="AD66" s="2">
        <f t="shared" si="18"/>
        <v>16889848.398620166</v>
      </c>
      <c r="AE66">
        <f t="shared" si="19"/>
        <v>23594608.432032477</v>
      </c>
      <c r="AF66" s="3">
        <f t="shared" si="20"/>
        <v>40542041.893929191</v>
      </c>
      <c r="AG66">
        <f t="shared" si="21"/>
        <v>6704760.0334123112</v>
      </c>
      <c r="AI66" s="2">
        <f t="shared" si="22"/>
        <v>304.82726057109039</v>
      </c>
      <c r="AJ66" s="2">
        <f t="shared" si="23"/>
        <v>1075.3305582516207</v>
      </c>
      <c r="AK66">
        <f t="shared" si="24"/>
        <v>23652193.495309029</v>
      </c>
      <c r="AO66" s="2">
        <f t="shared" si="25"/>
        <v>116.83324014112232</v>
      </c>
      <c r="AP66" s="3">
        <f t="shared" si="26"/>
        <v>110.83777671606298</v>
      </c>
    </row>
    <row r="67" spans="1:42" ht="14.65" thickBot="1" x14ac:dyDescent="0.5">
      <c r="A67" s="2">
        <v>0.70099999999999996</v>
      </c>
      <c r="B67" s="4">
        <f t="shared" si="27"/>
        <v>55000</v>
      </c>
      <c r="C67">
        <v>1.3010101010101001</v>
      </c>
      <c r="D67" s="5">
        <f t="shared" si="1"/>
        <v>1</v>
      </c>
      <c r="F67" s="2">
        <v>389.97</v>
      </c>
      <c r="G67" s="3">
        <v>2.8650000000000003E-4</v>
      </c>
      <c r="H67">
        <v>1.7591192124955999E-2</v>
      </c>
      <c r="I67">
        <v>7.8561351861416995E-2</v>
      </c>
      <c r="J67">
        <v>0</v>
      </c>
      <c r="K67" s="13">
        <v>968.07579999999996</v>
      </c>
      <c r="L67">
        <f t="shared" si="2"/>
        <v>1259.4763943434334</v>
      </c>
      <c r="M67">
        <f t="shared" si="3"/>
        <v>227.2347228678691</v>
      </c>
      <c r="N67" s="2">
        <f t="shared" si="4"/>
        <v>0.75183635697622853</v>
      </c>
      <c r="O67">
        <f t="shared" si="5"/>
        <v>1.0063521029996079</v>
      </c>
      <c r="P67" s="4">
        <f t="shared" si="6"/>
        <v>9.059753850297704E-2</v>
      </c>
      <c r="Q67">
        <f t="shared" si="0"/>
        <v>0.25136778680571581</v>
      </c>
      <c r="R67">
        <f t="shared" si="29"/>
        <v>0.15286151899492384</v>
      </c>
      <c r="S67" s="3">
        <f t="shared" si="28"/>
        <v>0.2196817094581798</v>
      </c>
      <c r="T67" s="2">
        <f t="shared" si="9"/>
        <v>0.23445360518682071</v>
      </c>
      <c r="U67" s="3">
        <f t="shared" si="10"/>
        <v>2.1909591243650085E-2</v>
      </c>
      <c r="V67">
        <v>1.3010101010101001</v>
      </c>
      <c r="W67" s="13">
        <f t="shared" si="11"/>
        <v>14.18234556218005</v>
      </c>
      <c r="X67" s="2">
        <f t="shared" si="12"/>
        <v>19.566274431350251</v>
      </c>
      <c r="Y67" s="3">
        <f t="shared" si="13"/>
        <v>33.391619837643333</v>
      </c>
      <c r="Z67" s="13">
        <f t="shared" si="14"/>
        <v>10.700957520363183</v>
      </c>
      <c r="AA67" s="2">
        <f t="shared" si="15"/>
        <v>9.3449581319902358E-2</v>
      </c>
      <c r="AB67" s="3">
        <f t="shared" si="16"/>
        <v>9.317897156690351E-2</v>
      </c>
      <c r="AC67">
        <f t="shared" si="17"/>
        <v>1.1260509228974732E-2</v>
      </c>
      <c r="AD67" s="2">
        <f t="shared" si="18"/>
        <v>17862329.451987125</v>
      </c>
      <c r="AE67">
        <f t="shared" si="19"/>
        <v>24643260.771531127</v>
      </c>
      <c r="AF67" s="3">
        <f t="shared" si="20"/>
        <v>42055956.954401687</v>
      </c>
      <c r="AG67">
        <f t="shared" si="21"/>
        <v>6780931.3195440052</v>
      </c>
      <c r="AI67" s="2">
        <f t="shared" si="22"/>
        <v>308.29033521805638</v>
      </c>
      <c r="AJ67" s="2">
        <f t="shared" si="23"/>
        <v>1099.9464795289718</v>
      </c>
      <c r="AK67">
        <f t="shared" si="24"/>
        <v>24193627.502414562</v>
      </c>
      <c r="AO67" s="2">
        <f t="shared" si="25"/>
        <v>123.56024619583597</v>
      </c>
      <c r="AP67" s="3">
        <f t="shared" si="26"/>
        <v>117.18696740433809</v>
      </c>
    </row>
    <row r="68" spans="1:42" ht="14.65" thickBot="1" x14ac:dyDescent="0.5">
      <c r="A68" s="2">
        <v>0.70099999999999996</v>
      </c>
      <c r="B68" s="4">
        <f t="shared" si="27"/>
        <v>55000</v>
      </c>
      <c r="C68">
        <v>1.3303030303030301</v>
      </c>
      <c r="D68" s="5">
        <f t="shared" si="1"/>
        <v>1</v>
      </c>
      <c r="F68" s="2">
        <v>389.97</v>
      </c>
      <c r="G68" s="3">
        <v>2.8650000000000003E-4</v>
      </c>
      <c r="H68">
        <v>1.8690377895190999E-2</v>
      </c>
      <c r="I68">
        <v>8.0909338368420999E-2</v>
      </c>
      <c r="J68">
        <v>0</v>
      </c>
      <c r="K68" s="13">
        <v>968.07579999999996</v>
      </c>
      <c r="L68">
        <f t="shared" si="2"/>
        <v>1287.8341703030301</v>
      </c>
      <c r="M68">
        <f t="shared" si="3"/>
        <v>237.58253879116347</v>
      </c>
      <c r="N68" s="2">
        <f t="shared" si="4"/>
        <v>0.75183635697622853</v>
      </c>
      <c r="O68">
        <f t="shared" si="5"/>
        <v>1.0179422422890214</v>
      </c>
      <c r="P68" s="4">
        <f t="shared" si="6"/>
        <v>9.059753850297704E-2</v>
      </c>
      <c r="Q68">
        <f t="shared" si="0"/>
        <v>0.26164699186730073</v>
      </c>
      <c r="R68">
        <f t="shared" si="29"/>
        <v>0.15607310904550883</v>
      </c>
      <c r="S68" s="3">
        <f t="shared" si="28"/>
        <v>0.22270655440099943</v>
      </c>
      <c r="T68" s="2">
        <f t="shared" si="9"/>
        <v>0.22424206876091146</v>
      </c>
      <c r="U68" s="3">
        <f t="shared" si="10"/>
        <v>2.2758863957464136E-2</v>
      </c>
      <c r="V68">
        <v>1.3303030303030301</v>
      </c>
      <c r="W68" s="13">
        <f t="shared" si="11"/>
        <v>15.402960138481879</v>
      </c>
      <c r="X68" s="2">
        <f t="shared" si="12"/>
        <v>19.977357957825131</v>
      </c>
      <c r="Y68" s="3">
        <f t="shared" si="13"/>
        <v>33.851396268951909</v>
      </c>
      <c r="Z68" s="13">
        <f t="shared" si="14"/>
        <v>9.852955278436367</v>
      </c>
      <c r="AA68" s="2">
        <f t="shared" si="15"/>
        <v>0.10149239205302643</v>
      </c>
      <c r="AB68" s="3">
        <f t="shared" si="16"/>
        <v>0.10114604900772567</v>
      </c>
      <c r="AC68">
        <f t="shared" si="17"/>
        <v>1.1960359876813589E-2</v>
      </c>
      <c r="AD68" s="2">
        <f t="shared" si="18"/>
        <v>19836458.390152458</v>
      </c>
      <c r="AE68">
        <f t="shared" si="19"/>
        <v>25727524.210462362</v>
      </c>
      <c r="AF68" s="3">
        <f t="shared" si="20"/>
        <v>43594984.827624775</v>
      </c>
      <c r="AG68">
        <f t="shared" si="21"/>
        <v>5891065.8203099072</v>
      </c>
      <c r="AI68" s="2">
        <f t="shared" si="22"/>
        <v>267.83321802721139</v>
      </c>
      <c r="AJ68" s="2">
        <f t="shared" si="23"/>
        <v>1080.1649116522751</v>
      </c>
      <c r="AK68">
        <f t="shared" si="24"/>
        <v>23758526.437472317</v>
      </c>
      <c r="AO68" s="2">
        <f t="shared" si="25"/>
        <v>137.21601591376026</v>
      </c>
      <c r="AP68" s="3">
        <f t="shared" si="26"/>
        <v>130.03734815666152</v>
      </c>
    </row>
    <row r="69" spans="1:42" ht="14.65" thickBot="1" x14ac:dyDescent="0.5">
      <c r="A69" s="2">
        <v>0.70099999999999996</v>
      </c>
      <c r="B69" s="4">
        <f t="shared" si="27"/>
        <v>55000</v>
      </c>
      <c r="C69">
        <v>1.3595959595959599</v>
      </c>
      <c r="D69" s="5">
        <f t="shared" si="1"/>
        <v>1</v>
      </c>
      <c r="F69" s="2">
        <v>389.97</v>
      </c>
      <c r="G69" s="3">
        <v>2.8650000000000003E-4</v>
      </c>
      <c r="H69">
        <v>1.8662586355456999E-2</v>
      </c>
      <c r="I69">
        <v>8.3265548131475006E-2</v>
      </c>
      <c r="J69">
        <v>0</v>
      </c>
      <c r="K69" s="13">
        <v>968.07579999999996</v>
      </c>
      <c r="L69">
        <f t="shared" si="2"/>
        <v>1316.1919462626265</v>
      </c>
      <c r="M69">
        <f t="shared" si="3"/>
        <v>248.16074754499559</v>
      </c>
      <c r="N69" s="2">
        <f t="shared" si="4"/>
        <v>0.75183635697622853</v>
      </c>
      <c r="O69">
        <f t="shared" si="5"/>
        <v>1.0297904345837268</v>
      </c>
      <c r="P69" s="4">
        <f t="shared" si="6"/>
        <v>9.059753850297704E-2</v>
      </c>
      <c r="Q69">
        <f t="shared" si="0"/>
        <v>0.27246188306171476</v>
      </c>
      <c r="R69">
        <f t="shared" si="29"/>
        <v>0.15935997266691213</v>
      </c>
      <c r="S69" s="3">
        <f t="shared" si="28"/>
        <v>0.22571665343566724</v>
      </c>
      <c r="T69" s="2">
        <f t="shared" si="9"/>
        <v>0.21468342808864319</v>
      </c>
      <c r="U69" s="3">
        <f t="shared" si="10"/>
        <v>2.2500210063021879E-2</v>
      </c>
      <c r="V69">
        <v>1.3595959595959599</v>
      </c>
      <c r="W69" s="13">
        <f t="shared" si="11"/>
        <v>15.905918552021621</v>
      </c>
      <c r="X69" s="2">
        <f t="shared" si="12"/>
        <v>20.398076501364752</v>
      </c>
      <c r="Y69" s="3">
        <f t="shared" si="13"/>
        <v>34.308931322221419</v>
      </c>
      <c r="Z69" s="13">
        <f t="shared" si="14"/>
        <v>9.5413966130683416</v>
      </c>
      <c r="AA69" s="2">
        <f t="shared" si="15"/>
        <v>0.10480645974095169</v>
      </c>
      <c r="AB69" s="3">
        <f t="shared" si="16"/>
        <v>0.10442522404092175</v>
      </c>
      <c r="AC69">
        <f t="shared" si="17"/>
        <v>1.2084801610575903E-2</v>
      </c>
      <c r="AD69" s="2">
        <f t="shared" si="18"/>
        <v>20935241.896080155</v>
      </c>
      <c r="AE69">
        <f t="shared" si="19"/>
        <v>26847784.010345221</v>
      </c>
      <c r="AF69" s="3">
        <f t="shared" si="20"/>
        <v>45157139.091185398</v>
      </c>
      <c r="AG69">
        <f t="shared" si="21"/>
        <v>5912542.1142650619</v>
      </c>
      <c r="AI69" s="2">
        <f t="shared" si="22"/>
        <v>268.80962282334804</v>
      </c>
      <c r="AJ69" s="2">
        <f t="shared" si="23"/>
        <v>1101.2317414827394</v>
      </c>
      <c r="AK69">
        <f t="shared" si="24"/>
        <v>24221897.195105243</v>
      </c>
      <c r="AO69" s="2">
        <f t="shared" si="25"/>
        <v>144.81670208816325</v>
      </c>
      <c r="AP69" s="3">
        <f t="shared" si="26"/>
        <v>137.19397975143659</v>
      </c>
    </row>
    <row r="70" spans="1:42" ht="14.65" thickBot="1" x14ac:dyDescent="0.5">
      <c r="A70" s="2">
        <v>0.70099999999999996</v>
      </c>
      <c r="B70" s="4">
        <f t="shared" si="27"/>
        <v>55000</v>
      </c>
      <c r="C70">
        <v>1.38888888888888</v>
      </c>
      <c r="D70" s="5">
        <f t="shared" si="1"/>
        <v>1</v>
      </c>
      <c r="F70" s="2">
        <v>389.97</v>
      </c>
      <c r="G70" s="3">
        <v>2.8650000000000003E-4</v>
      </c>
      <c r="H70">
        <v>1.8642493647823E-2</v>
      </c>
      <c r="I70">
        <v>8.5620074493185996E-2</v>
      </c>
      <c r="J70">
        <v>0</v>
      </c>
      <c r="K70" s="13">
        <v>968.07579999999996</v>
      </c>
      <c r="L70">
        <f t="shared" si="2"/>
        <v>1344.5497222222136</v>
      </c>
      <c r="M70">
        <f t="shared" si="3"/>
        <v>258.96934912936194</v>
      </c>
      <c r="N70" s="2">
        <f t="shared" si="4"/>
        <v>0.75183635697622853</v>
      </c>
      <c r="O70">
        <f t="shared" si="5"/>
        <v>1.0418966798837201</v>
      </c>
      <c r="P70" s="4">
        <f t="shared" si="6"/>
        <v>9.059753850297704E-2</v>
      </c>
      <c r="Q70">
        <f t="shared" si="0"/>
        <v>0.28383833855935814</v>
      </c>
      <c r="R70">
        <f t="shared" si="29"/>
        <v>0.16271894206918558</v>
      </c>
      <c r="S70" s="3">
        <f t="shared" si="28"/>
        <v>0.22870166167933417</v>
      </c>
      <c r="T70" s="2">
        <f t="shared" si="9"/>
        <v>0.20572318762475342</v>
      </c>
      <c r="U70" s="3">
        <f t="shared" si="10"/>
        <v>2.2266109002831876E-2</v>
      </c>
      <c r="V70">
        <v>1.38888888888888</v>
      </c>
      <c r="W70" s="13">
        <f t="shared" si="11"/>
        <v>16.425998881233628</v>
      </c>
      <c r="X70" s="2">
        <f t="shared" si="12"/>
        <v>20.828024584855754</v>
      </c>
      <c r="Y70" s="3">
        <f t="shared" si="13"/>
        <v>34.762652575258791</v>
      </c>
      <c r="Z70" s="13">
        <f t="shared" si="14"/>
        <v>9.2392967086700626</v>
      </c>
      <c r="AA70" s="2">
        <f t="shared" si="15"/>
        <v>0.10823334627424727</v>
      </c>
      <c r="AB70" s="3">
        <f t="shared" si="16"/>
        <v>0.10781366054696916</v>
      </c>
      <c r="AC70">
        <f t="shared" si="17"/>
        <v>1.2216728477757928E-2</v>
      </c>
      <c r="AD70" s="2">
        <f t="shared" si="18"/>
        <v>22085572.232985064</v>
      </c>
      <c r="AE70">
        <f t="shared" si="19"/>
        <v>28004314.670005243</v>
      </c>
      <c r="AF70" s="3">
        <f t="shared" si="20"/>
        <v>46740114.863771521</v>
      </c>
      <c r="AG70">
        <f t="shared" si="21"/>
        <v>5918742.4370201742</v>
      </c>
      <c r="AI70" s="2">
        <f t="shared" si="22"/>
        <v>269.09151619323433</v>
      </c>
      <c r="AJ70" s="2">
        <f t="shared" si="23"/>
        <v>1120.9016658797461</v>
      </c>
      <c r="AK70">
        <f t="shared" si="24"/>
        <v>24654542.630786464</v>
      </c>
      <c r="AO70" s="2">
        <f t="shared" si="25"/>
        <v>152.77395648863549</v>
      </c>
      <c r="AP70" s="3">
        <f t="shared" si="26"/>
        <v>144.68015825363733</v>
      </c>
    </row>
    <row r="71" spans="1:42" ht="14.65" thickBot="1" x14ac:dyDescent="0.5">
      <c r="A71" s="2">
        <v>0.70099999999999996</v>
      </c>
      <c r="B71" s="4">
        <f t="shared" si="27"/>
        <v>55000</v>
      </c>
      <c r="C71">
        <v>1.41818181818181</v>
      </c>
      <c r="D71" s="5">
        <f t="shared" si="1"/>
        <v>1</v>
      </c>
      <c r="F71" s="2">
        <v>389.97</v>
      </c>
      <c r="G71" s="3">
        <v>2.8650000000000003E-4</v>
      </c>
      <c r="H71">
        <v>1.8625917391865001E-2</v>
      </c>
      <c r="I71">
        <v>8.7967071565518001E-2</v>
      </c>
      <c r="J71">
        <v>0</v>
      </c>
      <c r="K71" s="13">
        <v>968.07579999999996</v>
      </c>
      <c r="L71">
        <f t="shared" si="2"/>
        <v>1372.9074981818103</v>
      </c>
      <c r="M71">
        <f t="shared" si="3"/>
        <v>270.00834354426974</v>
      </c>
      <c r="N71" s="2">
        <f t="shared" si="4"/>
        <v>0.75183635697622853</v>
      </c>
      <c r="O71">
        <f t="shared" si="5"/>
        <v>1.05426097818901</v>
      </c>
      <c r="P71" s="4">
        <f t="shared" si="6"/>
        <v>9.059753850297704E-2</v>
      </c>
      <c r="Q71">
        <f t="shared" si="0"/>
        <v>0.2958034459359285</v>
      </c>
      <c r="R71">
        <f t="shared" si="29"/>
        <v>0.16614640313138027</v>
      </c>
      <c r="S71" s="3">
        <f t="shared" si="28"/>
        <v>0.23165044255275444</v>
      </c>
      <c r="T71" s="2">
        <f t="shared" si="9"/>
        <v>0.19731242116695935</v>
      </c>
      <c r="U71" s="3">
        <f t="shared" si="10"/>
        <v>2.2050668271861956E-2</v>
      </c>
      <c r="V71">
        <v>1.41818181818181</v>
      </c>
      <c r="W71" s="13">
        <f t="shared" si="11"/>
        <v>16.960475863310375</v>
      </c>
      <c r="X71" s="2">
        <f t="shared" si="12"/>
        <v>21.266739600816674</v>
      </c>
      <c r="Y71" s="3">
        <f t="shared" si="13"/>
        <v>35.210867268018674</v>
      </c>
      <c r="Z71" s="13">
        <f t="shared" si="14"/>
        <v>8.9481379309824565</v>
      </c>
      <c r="AA71" s="2">
        <f t="shared" si="15"/>
        <v>0.11175509449150897</v>
      </c>
      <c r="AB71" s="3">
        <f t="shared" si="16"/>
        <v>0.11129330605346072</v>
      </c>
      <c r="AC71">
        <f t="shared" si="17"/>
        <v>1.2353691625817275E-2</v>
      </c>
      <c r="AD71" s="2">
        <f t="shared" si="18"/>
        <v>23285164.485470425</v>
      </c>
      <c r="AE71">
        <f t="shared" si="19"/>
        <v>29197266.259841248</v>
      </c>
      <c r="AF71" s="3">
        <f t="shared" si="20"/>
        <v>48341263.689747311</v>
      </c>
      <c r="AG71">
        <f t="shared" si="21"/>
        <v>5912101.774370824</v>
      </c>
      <c r="AI71" s="2">
        <f t="shared" si="22"/>
        <v>268.78960307573414</v>
      </c>
      <c r="AJ71" s="2">
        <f t="shared" si="23"/>
        <v>1139.1581567386893</v>
      </c>
      <c r="AK71">
        <f t="shared" si="24"/>
        <v>25056099.204276886</v>
      </c>
      <c r="AO71" s="2">
        <f t="shared" si="25"/>
        <v>161.07197352219879</v>
      </c>
      <c r="AP71" s="3">
        <f t="shared" si="26"/>
        <v>152.48018390740961</v>
      </c>
    </row>
    <row r="72" spans="1:42" ht="14.65" thickBot="1" x14ac:dyDescent="0.5">
      <c r="A72" s="2">
        <v>0.70099999999999996</v>
      </c>
      <c r="B72" s="4">
        <f t="shared" si="27"/>
        <v>55000</v>
      </c>
      <c r="C72">
        <v>1.44747474747474</v>
      </c>
      <c r="D72" s="5">
        <f t="shared" si="1"/>
        <v>1</v>
      </c>
      <c r="F72" s="2">
        <v>389.97</v>
      </c>
      <c r="G72" s="3">
        <v>2.8650000000000003E-4</v>
      </c>
      <c r="H72">
        <v>1.8611478486910998E-2</v>
      </c>
      <c r="I72">
        <v>9.0303129626000997E-2</v>
      </c>
      <c r="J72">
        <v>0</v>
      </c>
      <c r="K72" s="13">
        <v>968.07579999999996</v>
      </c>
      <c r="L72">
        <f t="shared" si="2"/>
        <v>1401.265274141407</v>
      </c>
      <c r="M72">
        <f t="shared" si="3"/>
        <v>281.27773078971535</v>
      </c>
      <c r="N72" s="2">
        <f t="shared" si="4"/>
        <v>0.75183635697622853</v>
      </c>
      <c r="O72">
        <f t="shared" si="5"/>
        <v>1.0668833294995919</v>
      </c>
      <c r="P72" s="4">
        <f t="shared" si="6"/>
        <v>9.059753850297704E-2</v>
      </c>
      <c r="Q72">
        <f t="shared" si="0"/>
        <v>0.30838554895144893</v>
      </c>
      <c r="R72">
        <f t="shared" si="29"/>
        <v>0.16963825817137898</v>
      </c>
      <c r="S72" s="3">
        <f t="shared" si="28"/>
        <v>0.23455102313367823</v>
      </c>
      <c r="T72" s="2">
        <f t="shared" si="9"/>
        <v>0.18940710254744411</v>
      </c>
      <c r="U72" s="3">
        <f t="shared" si="10"/>
        <v>2.1851107822138061E-2</v>
      </c>
      <c r="V72">
        <v>1.44747474747474</v>
      </c>
      <c r="W72" s="13">
        <f t="shared" si="11"/>
        <v>17.508458156307658</v>
      </c>
      <c r="X72" s="2">
        <f t="shared" si="12"/>
        <v>21.71369704593651</v>
      </c>
      <c r="Y72" s="3">
        <f t="shared" si="13"/>
        <v>35.651755516319092</v>
      </c>
      <c r="Z72" s="13">
        <f t="shared" si="14"/>
        <v>8.6680777967490368</v>
      </c>
      <c r="AA72" s="2">
        <f t="shared" si="15"/>
        <v>0.11536583120828127</v>
      </c>
      <c r="AB72" s="3">
        <f t="shared" si="16"/>
        <v>0.11485806800031403</v>
      </c>
      <c r="AC72">
        <f t="shared" si="17"/>
        <v>1.2494749195176883E-2</v>
      </c>
      <c r="AD72" s="2">
        <f t="shared" si="18"/>
        <v>24533994.418191802</v>
      </c>
      <c r="AE72">
        <f t="shared" si="19"/>
        <v>30426649.643697683</v>
      </c>
      <c r="AF72" s="3">
        <f t="shared" si="20"/>
        <v>49957566.967197292</v>
      </c>
      <c r="AG72">
        <f t="shared" si="21"/>
        <v>5892655.2255058819</v>
      </c>
      <c r="AI72" s="2">
        <f t="shared" si="22"/>
        <v>267.90547923110415</v>
      </c>
      <c r="AJ72" s="2">
        <f t="shared" si="23"/>
        <v>1155.8650772620636</v>
      </c>
      <c r="AK72">
        <f t="shared" si="24"/>
        <v>25423572.54900549</v>
      </c>
      <c r="AO72" s="2">
        <f t="shared" si="25"/>
        <v>169.71058554413844</v>
      </c>
      <c r="AP72" s="3">
        <f t="shared" si="26"/>
        <v>160.59297744168438</v>
      </c>
    </row>
    <row r="73" spans="1:42" ht="14.65" thickBot="1" x14ac:dyDescent="0.5">
      <c r="A73" s="2">
        <v>0.70099999999999996</v>
      </c>
      <c r="B73" s="4">
        <f t="shared" si="27"/>
        <v>55000</v>
      </c>
      <c r="C73">
        <v>1.4767676767676701</v>
      </c>
      <c r="D73" s="5">
        <f t="shared" si="1"/>
        <v>1</v>
      </c>
      <c r="F73" s="2">
        <v>389.97</v>
      </c>
      <c r="G73" s="3">
        <v>2.8650000000000003E-4</v>
      </c>
      <c r="H73">
        <v>1.8598516194991001E-2</v>
      </c>
      <c r="I73">
        <v>9.2626337305261999E-2</v>
      </c>
      <c r="J73">
        <v>0</v>
      </c>
      <c r="K73" s="13">
        <v>968.07579999999996</v>
      </c>
      <c r="L73">
        <f t="shared" si="2"/>
        <v>1429.6230501010036</v>
      </c>
      <c r="M73">
        <f t="shared" si="3"/>
        <v>292.7775108656989</v>
      </c>
      <c r="N73" s="2">
        <f t="shared" si="4"/>
        <v>0.75183635697622853</v>
      </c>
      <c r="O73">
        <f t="shared" si="5"/>
        <v>1.079763733815466</v>
      </c>
      <c r="P73" s="4">
        <f t="shared" si="6"/>
        <v>9.059753850297704E-2</v>
      </c>
      <c r="Q73">
        <f t="shared" si="0"/>
        <v>0.3216142958253469</v>
      </c>
      <c r="R73">
        <f t="shared" si="29"/>
        <v>0.17318988671937771</v>
      </c>
      <c r="S73" s="3">
        <f t="shared" si="28"/>
        <v>0.23739054785706415</v>
      </c>
      <c r="T73" s="2">
        <f t="shared" si="9"/>
        <v>0.18196752832029656</v>
      </c>
      <c r="U73" s="3">
        <f t="shared" si="10"/>
        <v>2.1665576274833058E-2</v>
      </c>
      <c r="V73">
        <v>1.4767676767676701</v>
      </c>
      <c r="W73" s="13">
        <f t="shared" si="11"/>
        <v>18.069538144451364</v>
      </c>
      <c r="X73" s="2">
        <f t="shared" si="12"/>
        <v>22.168305500080347</v>
      </c>
      <c r="Y73" s="3">
        <f t="shared" si="13"/>
        <v>36.083363274273751</v>
      </c>
      <c r="Z73" s="13">
        <f t="shared" si="14"/>
        <v>8.3989239894658052</v>
      </c>
      <c r="AA73" s="2">
        <f t="shared" si="15"/>
        <v>0.11906287058368804</v>
      </c>
      <c r="AB73" s="3">
        <f t="shared" si="16"/>
        <v>0.11850499753793566</v>
      </c>
      <c r="AC73">
        <f t="shared" si="17"/>
        <v>1.2639372415809008E-2</v>
      </c>
      <c r="AD73" s="2">
        <f t="shared" si="18"/>
        <v>25832628.235986989</v>
      </c>
      <c r="AE73">
        <f t="shared" si="19"/>
        <v>31692320.524595723</v>
      </c>
      <c r="AF73" s="3">
        <f t="shared" si="20"/>
        <v>51585607.862069771</v>
      </c>
      <c r="AG73">
        <f t="shared" si="21"/>
        <v>5859692.2886087289</v>
      </c>
      <c r="AI73" s="2">
        <f t="shared" si="22"/>
        <v>266.40684218747185</v>
      </c>
      <c r="AJ73" s="2">
        <f t="shared" si="23"/>
        <v>1170.8413413517271</v>
      </c>
      <c r="AK73">
        <f t="shared" si="24"/>
        <v>25752979.626082789</v>
      </c>
      <c r="AO73" s="2">
        <f t="shared" si="25"/>
        <v>178.69370919978019</v>
      </c>
      <c r="AP73" s="3">
        <f t="shared" si="26"/>
        <v>169.02122050453426</v>
      </c>
    </row>
    <row r="74" spans="1:42" ht="14.65" thickBot="1" x14ac:dyDescent="0.5">
      <c r="A74" s="2">
        <v>0.70099999999999996</v>
      </c>
      <c r="B74" s="4">
        <f t="shared" si="27"/>
        <v>55000</v>
      </c>
      <c r="C74">
        <v>1.5060606060606001</v>
      </c>
      <c r="D74" s="5">
        <f t="shared" si="1"/>
        <v>1</v>
      </c>
      <c r="F74" s="2">
        <v>389.97</v>
      </c>
      <c r="G74" s="3">
        <v>2.8650000000000003E-4</v>
      </c>
      <c r="H74">
        <v>1.8586653058670001E-2</v>
      </c>
      <c r="I74">
        <v>9.4935721019582003E-2</v>
      </c>
      <c r="J74">
        <v>0</v>
      </c>
      <c r="K74" s="13">
        <v>968.07579999999996</v>
      </c>
      <c r="L74">
        <f t="shared" si="2"/>
        <v>1457.9808260606003</v>
      </c>
      <c r="M74">
        <f t="shared" si="3"/>
        <v>304.50768377222028</v>
      </c>
      <c r="N74" s="2">
        <f t="shared" si="4"/>
        <v>0.75183635697622853</v>
      </c>
      <c r="O74">
        <f t="shared" si="5"/>
        <v>1.0929021911366321</v>
      </c>
      <c r="P74" s="4">
        <f t="shared" si="6"/>
        <v>9.059753850297704E-2</v>
      </c>
      <c r="Q74">
        <f t="shared" si="0"/>
        <v>0.33552068903431542</v>
      </c>
      <c r="R74">
        <f t="shared" si="29"/>
        <v>0.17679610421051714</v>
      </c>
      <c r="S74" s="3">
        <f t="shared" si="28"/>
        <v>0.2401552305220809</v>
      </c>
      <c r="T74" s="2">
        <f t="shared" si="9"/>
        <v>0.17495781827249995</v>
      </c>
      <c r="U74" s="3">
        <f t="shared" si="10"/>
        <v>2.1492658090363728E-2</v>
      </c>
      <c r="V74">
        <v>1.5060606060606001</v>
      </c>
      <c r="W74" s="13">
        <f t="shared" si="11"/>
        <v>18.643501352264224</v>
      </c>
      <c r="X74" s="2">
        <f t="shared" si="12"/>
        <v>22.629901338946194</v>
      </c>
      <c r="Y74" s="3">
        <f t="shared" si="13"/>
        <v>36.503595039356298</v>
      </c>
      <c r="Z74" s="13">
        <f t="shared" si="14"/>
        <v>8.1403527445003458</v>
      </c>
      <c r="AA74" s="2">
        <f t="shared" si="15"/>
        <v>0.12284479940695493</v>
      </c>
      <c r="AB74" s="3">
        <f t="shared" si="16"/>
        <v>0.12223239104067116</v>
      </c>
      <c r="AC74">
        <f t="shared" si="17"/>
        <v>1.2787206127146501E-2</v>
      </c>
      <c r="AD74" s="2">
        <f t="shared" si="18"/>
        <v>27181867.502236113</v>
      </c>
      <c r="AE74">
        <f t="shared" si="19"/>
        <v>32993962.247826654</v>
      </c>
      <c r="AF74" s="3">
        <f t="shared" si="20"/>
        <v>53221541.649662331</v>
      </c>
      <c r="AG74">
        <f t="shared" si="21"/>
        <v>5812094.745590548</v>
      </c>
      <c r="AI74" s="2">
        <f t="shared" si="22"/>
        <v>264.24285293568016</v>
      </c>
      <c r="AJ74" s="2">
        <f t="shared" si="23"/>
        <v>1183.8757087453919</v>
      </c>
      <c r="AK74">
        <f t="shared" si="24"/>
        <v>26039674.147426214</v>
      </c>
      <c r="AO74" s="2">
        <f t="shared" si="25"/>
        <v>188.02688919530897</v>
      </c>
      <c r="AP74" s="3">
        <f t="shared" si="26"/>
        <v>177.76904227884629</v>
      </c>
    </row>
    <row r="75" spans="1:42" ht="14.65" thickBot="1" x14ac:dyDescent="0.5">
      <c r="A75" s="2">
        <v>0.70099999999999996</v>
      </c>
      <c r="B75" s="4">
        <f t="shared" si="27"/>
        <v>55000</v>
      </c>
      <c r="C75">
        <v>1.5353535353535299</v>
      </c>
      <c r="D75" s="5">
        <f t="shared" si="1"/>
        <v>1</v>
      </c>
      <c r="F75" s="2">
        <v>389.97</v>
      </c>
      <c r="G75" s="3">
        <v>2.8650000000000003E-4</v>
      </c>
      <c r="H75">
        <v>1.8575649379514E-2</v>
      </c>
      <c r="I75">
        <v>9.7230900232907994E-2</v>
      </c>
      <c r="J75">
        <v>0</v>
      </c>
      <c r="K75" s="13">
        <v>968.07579999999996</v>
      </c>
      <c r="L75">
        <f t="shared" si="2"/>
        <v>1486.3386020201967</v>
      </c>
      <c r="M75">
        <f t="shared" si="3"/>
        <v>316.46824950927936</v>
      </c>
      <c r="N75" s="2">
        <f t="shared" si="4"/>
        <v>0.75183635697622853</v>
      </c>
      <c r="O75">
        <f t="shared" si="5"/>
        <v>1.1062987014630903</v>
      </c>
      <c r="P75" s="4">
        <f t="shared" si="6"/>
        <v>9.059753850297704E-2</v>
      </c>
      <c r="Q75">
        <f t="shared" si="0"/>
        <v>0.35013713665996238</v>
      </c>
      <c r="R75">
        <f t="shared" si="29"/>
        <v>0.18045111851037593</v>
      </c>
      <c r="S75" s="3">
        <f t="shared" si="28"/>
        <v>0.24283030456592697</v>
      </c>
      <c r="T75" s="2">
        <f t="shared" si="9"/>
        <v>0.16834548199577873</v>
      </c>
      <c r="U75" s="3">
        <f t="shared" si="10"/>
        <v>2.1331192665510701E-2</v>
      </c>
      <c r="V75">
        <v>1.5353535353535299</v>
      </c>
      <c r="W75" s="13">
        <f t="shared" si="11"/>
        <v>19.230225456954372</v>
      </c>
      <c r="X75" s="2">
        <f t="shared" si="12"/>
        <v>23.097743169328119</v>
      </c>
      <c r="Y75" s="3">
        <f t="shared" si="13"/>
        <v>36.910206294020902</v>
      </c>
      <c r="Z75" s="13">
        <f t="shared" si="14"/>
        <v>7.8919863804881292</v>
      </c>
      <c r="AA75" s="2">
        <f t="shared" si="15"/>
        <v>0.1267108116750385</v>
      </c>
      <c r="AB75" s="3">
        <f t="shared" si="16"/>
        <v>0.12603912983565629</v>
      </c>
      <c r="AC75">
        <f t="shared" si="17"/>
        <v>1.2937984272774117E-2</v>
      </c>
      <c r="AD75" s="2">
        <f t="shared" si="18"/>
        <v>28582626.422222763</v>
      </c>
      <c r="AE75">
        <f t="shared" si="19"/>
        <v>34331067.29212071</v>
      </c>
      <c r="AF75" s="3">
        <f t="shared" si="20"/>
        <v>54861064.423332095</v>
      </c>
      <c r="AG75">
        <f t="shared" si="21"/>
        <v>5748440.8698979411</v>
      </c>
      <c r="AI75" s="2">
        <f t="shared" si="22"/>
        <v>261.34887366492097</v>
      </c>
      <c r="AJ75" s="2">
        <f t="shared" si="23"/>
        <v>1194.7309416066607</v>
      </c>
      <c r="AK75">
        <f t="shared" si="24"/>
        <v>26278438.001109328</v>
      </c>
      <c r="AO75" s="2">
        <f t="shared" si="25"/>
        <v>197.71644942203011</v>
      </c>
      <c r="AP75" s="3">
        <f t="shared" si="26"/>
        <v>186.84121669759938</v>
      </c>
    </row>
    <row r="76" spans="1:42" ht="14.65" thickBot="1" x14ac:dyDescent="0.5">
      <c r="A76" s="2">
        <v>0.70099999999999996</v>
      </c>
      <c r="B76" s="4">
        <f t="shared" si="27"/>
        <v>55000</v>
      </c>
      <c r="C76">
        <v>1.56464646464646</v>
      </c>
      <c r="D76" s="5">
        <f t="shared" si="1"/>
        <v>1</v>
      </c>
      <c r="F76" s="2">
        <v>389.97</v>
      </c>
      <c r="G76" s="3">
        <v>2.8650000000000003E-4</v>
      </c>
      <c r="H76">
        <v>1.8565341673863998E-2</v>
      </c>
      <c r="I76">
        <v>9.9511870492462004E-2</v>
      </c>
      <c r="J76">
        <v>0</v>
      </c>
      <c r="K76" s="13">
        <v>968.07579999999996</v>
      </c>
      <c r="L76">
        <f t="shared" si="2"/>
        <v>1514.6963779797934</v>
      </c>
      <c r="M76">
        <f t="shared" si="3"/>
        <v>328.65920807687638</v>
      </c>
      <c r="N76" s="2">
        <f t="shared" si="4"/>
        <v>0.75183635697622853</v>
      </c>
      <c r="O76">
        <f t="shared" si="5"/>
        <v>1.1199532647948407</v>
      </c>
      <c r="P76" s="4">
        <f t="shared" si="6"/>
        <v>9.059753850297704E-2</v>
      </c>
      <c r="Q76">
        <f t="shared" si="0"/>
        <v>0.36549750531340419</v>
      </c>
      <c r="R76">
        <f t="shared" si="29"/>
        <v>0.18414848418519736</v>
      </c>
      <c r="S76" s="3">
        <f t="shared" si="28"/>
        <v>0.24539997156450477</v>
      </c>
      <c r="T76" s="2">
        <f t="shared" si="9"/>
        <v>0.16210104171959866</v>
      </c>
      <c r="U76" s="3">
        <f t="shared" si="10"/>
        <v>2.1180189990594428E-2</v>
      </c>
      <c r="V76">
        <v>1.56464646464646</v>
      </c>
      <c r="W76" s="13">
        <f t="shared" si="11"/>
        <v>19.829636300262209</v>
      </c>
      <c r="X76" s="2">
        <f t="shared" si="12"/>
        <v>23.571005975705262</v>
      </c>
      <c r="Y76" s="3">
        <f t="shared" si="13"/>
        <v>37.300795677804722</v>
      </c>
      <c r="Z76" s="13">
        <f t="shared" si="14"/>
        <v>7.653427178490066</v>
      </c>
      <c r="AA76" s="2">
        <f t="shared" si="15"/>
        <v>0.13066041874815207</v>
      </c>
      <c r="AB76" s="3">
        <f t="shared" si="16"/>
        <v>0.12992439228932318</v>
      </c>
      <c r="AC76">
        <f t="shared" si="17"/>
        <v>1.3091492518592887E-2</v>
      </c>
      <c r="AD76" s="2">
        <f t="shared" si="18"/>
        <v>30035878.280663796</v>
      </c>
      <c r="AE76">
        <f t="shared" si="19"/>
        <v>35702917.376740828</v>
      </c>
      <c r="AF76" s="3">
        <f t="shared" si="20"/>
        <v>56499380.108935148</v>
      </c>
      <c r="AG76">
        <f t="shared" si="21"/>
        <v>5667039.0960770277</v>
      </c>
      <c r="AI76" s="2">
        <f t="shared" si="22"/>
        <v>257.64799852609394</v>
      </c>
      <c r="AJ76" s="2">
        <f t="shared" si="23"/>
        <v>1203.1447400399345</v>
      </c>
      <c r="AK76">
        <f t="shared" si="24"/>
        <v>26463501.828271348</v>
      </c>
      <c r="AO76" s="2">
        <f t="shared" si="25"/>
        <v>207.76912244523169</v>
      </c>
      <c r="AP76" s="3">
        <f t="shared" si="26"/>
        <v>196.24280935685823</v>
      </c>
    </row>
    <row r="77" spans="1:42" ht="14.65" thickBot="1" x14ac:dyDescent="0.5">
      <c r="A77" s="2">
        <v>0.70099999999999996</v>
      </c>
      <c r="B77" s="4">
        <f t="shared" si="27"/>
        <v>55000</v>
      </c>
      <c r="C77">
        <v>1.59393939393939</v>
      </c>
      <c r="D77" s="5">
        <f t="shared" si="1"/>
        <v>1</v>
      </c>
      <c r="F77" s="2">
        <v>389.97</v>
      </c>
      <c r="G77" s="3">
        <v>2.8650000000000003E-4</v>
      </c>
      <c r="H77">
        <v>1.8555612526858001E-2</v>
      </c>
      <c r="I77">
        <v>0.101778864326256</v>
      </c>
      <c r="J77">
        <v>0</v>
      </c>
      <c r="K77" s="13">
        <v>968.07579999999996</v>
      </c>
      <c r="L77">
        <f t="shared" si="2"/>
        <v>1543.0541539393901</v>
      </c>
      <c r="M77">
        <f t="shared" si="3"/>
        <v>341.08055947501123</v>
      </c>
      <c r="N77" s="2">
        <f t="shared" si="4"/>
        <v>0.75183635697622853</v>
      </c>
      <c r="O77">
        <f t="shared" si="5"/>
        <v>1.1338658811318831</v>
      </c>
      <c r="P77" s="4">
        <f t="shared" si="6"/>
        <v>9.059753850297704E-2</v>
      </c>
      <c r="Q77">
        <f t="shared" si="0"/>
        <v>0.38163717466413222</v>
      </c>
      <c r="R77">
        <f t="shared" si="29"/>
        <v>0.18788105442687084</v>
      </c>
      <c r="S77" s="3">
        <f t="shared" si="28"/>
        <v>0.2478473479199812</v>
      </c>
      <c r="T77" s="2">
        <f t="shared" si="9"/>
        <v>0.15619770321123558</v>
      </c>
      <c r="U77" s="3">
        <f t="shared" si="10"/>
        <v>2.1038785013881151E-2</v>
      </c>
      <c r="V77">
        <v>1.59393939393939</v>
      </c>
      <c r="W77" s="13">
        <f t="shared" si="11"/>
        <v>20.441686112385501</v>
      </c>
      <c r="X77" s="2">
        <f t="shared" si="12"/>
        <v>24.048774966639467</v>
      </c>
      <c r="Y77" s="3">
        <f t="shared" si="13"/>
        <v>37.672796883837144</v>
      </c>
      <c r="Z77" s="13">
        <f t="shared" si="14"/>
        <v>7.4242739354092029</v>
      </c>
      <c r="AA77" s="2">
        <f t="shared" si="15"/>
        <v>0.13469330586397377</v>
      </c>
      <c r="AB77" s="3">
        <f t="shared" si="16"/>
        <v>0.13388751103253729</v>
      </c>
      <c r="AC77">
        <f t="shared" si="17"/>
        <v>1.3247549387815222E-2</v>
      </c>
      <c r="AD77" s="2">
        <f t="shared" si="18"/>
        <v>31542628.669241589</v>
      </c>
      <c r="AE77">
        <f t="shared" si="19"/>
        <v>37108562.109426647</v>
      </c>
      <c r="AF77" s="3">
        <f t="shared" si="20"/>
        <v>58131165.722119808</v>
      </c>
      <c r="AG77">
        <f t="shared" si="21"/>
        <v>5565933.4401850561</v>
      </c>
      <c r="AI77" s="2">
        <f t="shared" si="22"/>
        <v>253.05130006705787</v>
      </c>
      <c r="AJ77" s="2">
        <f t="shared" si="23"/>
        <v>1208.8293797290314</v>
      </c>
      <c r="AK77">
        <f t="shared" si="24"/>
        <v>26588537.052878227</v>
      </c>
      <c r="AO77" s="2">
        <f t="shared" si="25"/>
        <v>218.19186430926288</v>
      </c>
      <c r="AP77" s="3">
        <f t="shared" si="26"/>
        <v>205.97899864693841</v>
      </c>
    </row>
    <row r="78" spans="1:42" ht="14.65" thickBot="1" x14ac:dyDescent="0.5">
      <c r="A78" s="2">
        <v>0.70099999999999996</v>
      </c>
      <c r="B78" s="4">
        <f t="shared" si="27"/>
        <v>55000</v>
      </c>
      <c r="C78">
        <v>1.62323232323232</v>
      </c>
      <c r="D78" s="5">
        <f t="shared" si="1"/>
        <v>1</v>
      </c>
      <c r="F78" s="2">
        <v>389.97</v>
      </c>
      <c r="G78" s="3">
        <v>2.8650000000000003E-4</v>
      </c>
      <c r="H78">
        <v>1.8546374238034E-2</v>
      </c>
      <c r="I78">
        <v>0.104032260767163</v>
      </c>
      <c r="J78">
        <v>0</v>
      </c>
      <c r="K78" s="13">
        <v>968.07579999999996</v>
      </c>
      <c r="L78">
        <f t="shared" si="2"/>
        <v>1571.4119298989867</v>
      </c>
      <c r="M78">
        <f t="shared" si="3"/>
        <v>353.73230370368395</v>
      </c>
      <c r="N78" s="2">
        <f t="shared" si="4"/>
        <v>0.75183635697622853</v>
      </c>
      <c r="O78">
        <f t="shared" si="5"/>
        <v>1.1480365504742178</v>
      </c>
      <c r="P78" s="4">
        <f t="shared" si="6"/>
        <v>9.059753850297704E-2</v>
      </c>
      <c r="Q78">
        <f t="shared" si="0"/>
        <v>0.39859309360064682</v>
      </c>
      <c r="R78">
        <f t="shared" si="29"/>
        <v>0.19164093054082765</v>
      </c>
      <c r="S78" s="3">
        <f t="shared" si="28"/>
        <v>0.25015440969525182</v>
      </c>
      <c r="T78" s="2">
        <f t="shared" si="9"/>
        <v>0.15061106786737938</v>
      </c>
      <c r="U78" s="3">
        <f t="shared" si="10"/>
        <v>2.0906210182868767E-2</v>
      </c>
      <c r="V78">
        <v>1.62323232323232</v>
      </c>
      <c r="W78" s="13">
        <f t="shared" si="11"/>
        <v>21.06634186309272</v>
      </c>
      <c r="X78" s="2">
        <f t="shared" si="12"/>
        <v>24.530039109225939</v>
      </c>
      <c r="Y78" s="3">
        <f t="shared" si="13"/>
        <v>38.023470273678278</v>
      </c>
      <c r="Z78" s="13">
        <f t="shared" si="14"/>
        <v>7.204130569336523</v>
      </c>
      <c r="AA78" s="2">
        <f t="shared" si="15"/>
        <v>0.13880925538140221</v>
      </c>
      <c r="AB78" s="3">
        <f t="shared" si="16"/>
        <v>0.13792789637109118</v>
      </c>
      <c r="AC78">
        <f t="shared" si="17"/>
        <v>1.3405995883235343E-2</v>
      </c>
      <c r="AD78" s="2">
        <f t="shared" si="18"/>
        <v>33103900.922994349</v>
      </c>
      <c r="AE78">
        <f t="shared" si="19"/>
        <v>38546796.09712635</v>
      </c>
      <c r="AF78" s="3">
        <f t="shared" si="20"/>
        <v>59750534.80421754</v>
      </c>
      <c r="AG78">
        <f t="shared" si="21"/>
        <v>5442895.1741320072</v>
      </c>
      <c r="AI78" s="2">
        <f t="shared" si="22"/>
        <v>247.457450712351</v>
      </c>
      <c r="AJ78" s="2">
        <f t="shared" si="23"/>
        <v>1211.4707116997522</v>
      </c>
      <c r="AK78">
        <f t="shared" si="24"/>
        <v>26646633.881223191</v>
      </c>
      <c r="AO78" s="2">
        <f t="shared" si="25"/>
        <v>228.99175379573509</v>
      </c>
      <c r="AP78" s="3">
        <f t="shared" si="26"/>
        <v>216.05497625328749</v>
      </c>
    </row>
    <row r="79" spans="1:42" ht="14.65" thickBot="1" x14ac:dyDescent="0.5">
      <c r="A79" s="2">
        <v>0.70099999999999996</v>
      </c>
      <c r="B79" s="4">
        <f t="shared" si="27"/>
        <v>55000</v>
      </c>
      <c r="C79">
        <v>1.6525252525252501</v>
      </c>
      <c r="D79" s="5">
        <f t="shared" si="1"/>
        <v>1</v>
      </c>
      <c r="F79" s="2">
        <v>389.97</v>
      </c>
      <c r="G79" s="3">
        <v>2.8650000000000003E-4</v>
      </c>
      <c r="H79">
        <v>1.8537559251214999E-2</v>
      </c>
      <c r="I79">
        <v>0.106272525886318</v>
      </c>
      <c r="J79">
        <v>0</v>
      </c>
      <c r="K79" s="13">
        <v>968.07579999999996</v>
      </c>
      <c r="L79">
        <f t="shared" si="2"/>
        <v>1599.7697058585834</v>
      </c>
      <c r="M79">
        <f t="shared" si="3"/>
        <v>366.6144407628945</v>
      </c>
      <c r="N79" s="2">
        <f t="shared" si="4"/>
        <v>0.75183635697622853</v>
      </c>
      <c r="O79">
        <f t="shared" si="5"/>
        <v>1.1624652728218445</v>
      </c>
      <c r="P79" s="4">
        <f t="shared" si="6"/>
        <v>9.059753850297704E-2</v>
      </c>
      <c r="Q79">
        <f t="shared" si="0"/>
        <v>0.41640383805050052</v>
      </c>
      <c r="R79">
        <f t="shared" si="29"/>
        <v>0.19541940890312709</v>
      </c>
      <c r="S79" s="3">
        <f t="shared" si="28"/>
        <v>0.25230193555529495</v>
      </c>
      <c r="T79" s="2">
        <f t="shared" si="9"/>
        <v>0.14531888020869288</v>
      </c>
      <c r="U79" s="3">
        <f t="shared" si="10"/>
        <v>2.0781777493770345E-2</v>
      </c>
      <c r="V79">
        <v>1.6525252525252501</v>
      </c>
      <c r="W79" s="13">
        <f t="shared" si="11"/>
        <v>21.703578727081123</v>
      </c>
      <c r="X79" s="2">
        <f t="shared" si="12"/>
        <v>25.013684339600267</v>
      </c>
      <c r="Y79" s="3">
        <f t="shared" si="13"/>
        <v>38.349894204404833</v>
      </c>
      <c r="Z79" s="13">
        <f t="shared" si="14"/>
        <v>6.992610726019679</v>
      </c>
      <c r="AA79" s="2">
        <f t="shared" si="15"/>
        <v>0.1430081037228306</v>
      </c>
      <c r="AB79" s="3">
        <f t="shared" si="16"/>
        <v>0.14204499312484883</v>
      </c>
      <c r="AC79">
        <f t="shared" si="17"/>
        <v>1.3566689410106681E-2</v>
      </c>
      <c r="AD79" s="2">
        <f t="shared" si="18"/>
        <v>34720727.756301172</v>
      </c>
      <c r="AE79">
        <f t="shared" si="19"/>
        <v>40016134.438401774</v>
      </c>
      <c r="AF79" s="3">
        <f t="shared" si="20"/>
        <v>61350998.971088514</v>
      </c>
      <c r="AG79">
        <f t="shared" si="21"/>
        <v>5295406.682100595</v>
      </c>
      <c r="AI79" s="2">
        <f t="shared" si="22"/>
        <v>240.75198880653312</v>
      </c>
      <c r="AJ79" s="2">
        <f t="shared" si="23"/>
        <v>1210.7267944289736</v>
      </c>
      <c r="AK79">
        <f t="shared" si="24"/>
        <v>26630271.21478733</v>
      </c>
      <c r="AO79" s="2">
        <f t="shared" si="25"/>
        <v>240.17593456658076</v>
      </c>
      <c r="AP79" s="3">
        <f t="shared" si="26"/>
        <v>226.47588792815998</v>
      </c>
    </row>
    <row r="80" spans="1:42" ht="14.65" thickBot="1" x14ac:dyDescent="0.5">
      <c r="A80" s="2">
        <v>0.70099999999999996</v>
      </c>
      <c r="B80" s="4">
        <f t="shared" si="27"/>
        <v>55000</v>
      </c>
      <c r="C80">
        <v>1.6818181818181801</v>
      </c>
      <c r="D80" s="5">
        <f t="shared" si="1"/>
        <v>1</v>
      </c>
      <c r="F80" s="2">
        <v>389.97</v>
      </c>
      <c r="G80" s="3">
        <v>2.8650000000000003E-4</v>
      </c>
      <c r="H80">
        <v>1.8529114216537999E-2</v>
      </c>
      <c r="I80">
        <v>0.10850017345447099</v>
      </c>
      <c r="J80">
        <v>0</v>
      </c>
      <c r="K80" s="13">
        <v>968.07579999999996</v>
      </c>
      <c r="L80">
        <f t="shared" si="2"/>
        <v>1628.1274818181801</v>
      </c>
      <c r="M80">
        <f t="shared" si="3"/>
        <v>379.72697065264293</v>
      </c>
      <c r="N80" s="2">
        <f t="shared" si="4"/>
        <v>0.75183635697622853</v>
      </c>
      <c r="O80">
        <f t="shared" si="5"/>
        <v>1.1771520481747635</v>
      </c>
      <c r="P80" s="4">
        <f t="shared" si="6"/>
        <v>9.059753850297704E-2</v>
      </c>
      <c r="Q80">
        <f t="shared" si="0"/>
        <v>0.43510967048753907</v>
      </c>
      <c r="R80">
        <f t="shared" si="29"/>
        <v>0.19920692529111614</v>
      </c>
      <c r="S80" s="3">
        <f t="shared" si="28"/>
        <v>0.25426944777536192</v>
      </c>
      <c r="T80" s="2">
        <f t="shared" si="9"/>
        <v>0.14030080588806654</v>
      </c>
      <c r="U80" s="3">
        <f t="shared" si="10"/>
        <v>2.0664865931283881E-2</v>
      </c>
      <c r="V80">
        <v>1.6818181818181801</v>
      </c>
      <c r="W80" s="13">
        <f t="shared" si="11"/>
        <v>22.3533763168662</v>
      </c>
      <c r="X80" s="2">
        <f t="shared" si="12"/>
        <v>25.498486437262866</v>
      </c>
      <c r="Y80" s="3">
        <f t="shared" si="13"/>
        <v>38.64895606185501</v>
      </c>
      <c r="Z80" s="13">
        <f t="shared" si="14"/>
        <v>6.7893402432226591</v>
      </c>
      <c r="AA80" s="2">
        <f t="shared" si="15"/>
        <v>0.14728971655209541</v>
      </c>
      <c r="AB80" s="3">
        <f t="shared" si="16"/>
        <v>0.14623825555958417</v>
      </c>
      <c r="AC80">
        <f t="shared" si="17"/>
        <v>1.3729500033930695E-2</v>
      </c>
      <c r="AD80" s="2">
        <f t="shared" si="18"/>
        <v>36394146.292913511</v>
      </c>
      <c r="AE80">
        <f t="shared" si="19"/>
        <v>41514786.51327581</v>
      </c>
      <c r="AF80" s="3">
        <f t="shared" si="20"/>
        <v>62925427.507889487</v>
      </c>
      <c r="AG80">
        <f t="shared" si="21"/>
        <v>5120640.2203622945</v>
      </c>
      <c r="AI80" s="2">
        <f t="shared" si="22"/>
        <v>232.80635294396586</v>
      </c>
      <c r="AJ80" s="2">
        <f t="shared" si="23"/>
        <v>1206.2262828049845</v>
      </c>
      <c r="AK80">
        <f t="shared" si="24"/>
        <v>26531281.214975968</v>
      </c>
      <c r="AO80" s="2">
        <f t="shared" si="25"/>
        <v>251.75158078496884</v>
      </c>
      <c r="AP80" s="3">
        <f t="shared" si="26"/>
        <v>237.24679627785667</v>
      </c>
    </row>
    <row r="81" spans="1:42" ht="14.65" thickBot="1" x14ac:dyDescent="0.5">
      <c r="A81" s="2">
        <v>0.70099999999999996</v>
      </c>
      <c r="B81" s="4">
        <f t="shared" si="27"/>
        <v>55000</v>
      </c>
      <c r="C81">
        <v>1.7111111111111099</v>
      </c>
      <c r="D81" s="5">
        <f t="shared" si="1"/>
        <v>1</v>
      </c>
      <c r="F81" s="2">
        <v>389.97</v>
      </c>
      <c r="G81" s="3">
        <v>2.8650000000000003E-4</v>
      </c>
      <c r="H81">
        <v>1.8520996129668E-2</v>
      </c>
      <c r="I81">
        <v>0.11071573886406599</v>
      </c>
      <c r="J81">
        <v>0</v>
      </c>
      <c r="K81" s="13">
        <v>968.07579999999996</v>
      </c>
      <c r="L81">
        <f t="shared" si="2"/>
        <v>1656.4852577777765</v>
      </c>
      <c r="M81">
        <f t="shared" si="3"/>
        <v>393.06989337292907</v>
      </c>
      <c r="N81" s="2">
        <f t="shared" si="4"/>
        <v>0.75183635697622853</v>
      </c>
      <c r="O81">
        <f t="shared" si="5"/>
        <v>1.1920968765329742</v>
      </c>
      <c r="P81" s="4">
        <f t="shared" si="6"/>
        <v>9.059753850297704E-2</v>
      </c>
      <c r="Q81">
        <f t="shared" si="0"/>
        <v>0.45475260115426724</v>
      </c>
      <c r="R81">
        <f t="shared" si="29"/>
        <v>0.20299299649013774</v>
      </c>
      <c r="S81" s="3">
        <f t="shared" si="28"/>
        <v>0.2560351512759082</v>
      </c>
      <c r="T81" s="2">
        <f t="shared" si="9"/>
        <v>0.13553823607002596</v>
      </c>
      <c r="U81" s="3">
        <f t="shared" si="10"/>
        <v>2.0554912169728726E-2</v>
      </c>
      <c r="V81">
        <v>1.7111111111111099</v>
      </c>
      <c r="W81" s="13">
        <f t="shared" si="11"/>
        <v>23.015716486176757</v>
      </c>
      <c r="X81" s="2">
        <f t="shared" si="12"/>
        <v>25.983103550737631</v>
      </c>
      <c r="Y81" s="3">
        <f t="shared" si="13"/>
        <v>38.917342993938043</v>
      </c>
      <c r="Z81" s="13">
        <f t="shared" si="14"/>
        <v>6.5939584149444084</v>
      </c>
      <c r="AA81" s="2">
        <f t="shared" si="15"/>
        <v>0.15165397430072064</v>
      </c>
      <c r="AB81" s="3">
        <f t="shared" si="16"/>
        <v>0.15050713258894802</v>
      </c>
      <c r="AC81">
        <f t="shared" si="17"/>
        <v>1.3894308070723801E-2</v>
      </c>
      <c r="AD81" s="2">
        <f t="shared" si="18"/>
        <v>38125195.056544729</v>
      </c>
      <c r="AE81">
        <f t="shared" si="19"/>
        <v>43040627.983110286</v>
      </c>
      <c r="AF81" s="3">
        <f t="shared" si="20"/>
        <v>64466004.941339605</v>
      </c>
      <c r="AG81">
        <f t="shared" si="21"/>
        <v>4915432.9265655633</v>
      </c>
      <c r="AI81" s="2">
        <f t="shared" si="22"/>
        <v>223.47674578344996</v>
      </c>
      <c r="AJ81" s="2">
        <f t="shared" si="23"/>
        <v>1197.5666360007597</v>
      </c>
      <c r="AK81">
        <f t="shared" si="24"/>
        <v>26340809.88479488</v>
      </c>
      <c r="AM81">
        <f>AF81-AD81</f>
        <v>26340809.884794876</v>
      </c>
      <c r="AO81" s="2">
        <f t="shared" si="25"/>
        <v>263.72587629811511</v>
      </c>
      <c r="AP81" s="3">
        <f t="shared" si="26"/>
        <v>248.37265624026151</v>
      </c>
    </row>
    <row r="82" spans="1:42" ht="14.65" thickBot="1" x14ac:dyDescent="0.5">
      <c r="A82" s="2">
        <v>0.70099999999999996</v>
      </c>
      <c r="B82" s="4">
        <f t="shared" si="27"/>
        <v>55000</v>
      </c>
      <c r="C82">
        <v>1.74040404040404</v>
      </c>
      <c r="D82" s="5">
        <f t="shared" si="1"/>
        <v>1</v>
      </c>
      <c r="F82" s="2">
        <v>389.97</v>
      </c>
      <c r="G82" s="3">
        <v>2.8650000000000003E-4</v>
      </c>
      <c r="H82">
        <v>1.8513169723629999E-2</v>
      </c>
      <c r="I82">
        <v>0.112919761895731</v>
      </c>
      <c r="J82">
        <v>0</v>
      </c>
      <c r="K82" s="13">
        <v>968.07579999999996</v>
      </c>
      <c r="L82">
        <f t="shared" si="2"/>
        <v>1684.8430337373732</v>
      </c>
      <c r="M82">
        <f t="shared" si="3"/>
        <v>406.64320892375315</v>
      </c>
      <c r="N82" s="2">
        <f t="shared" si="4"/>
        <v>0.75183635697622853</v>
      </c>
      <c r="O82">
        <f t="shared" si="5"/>
        <v>1.2072997578964775</v>
      </c>
      <c r="P82" s="4">
        <f t="shared" si="6"/>
        <v>9.059753850297704E-2</v>
      </c>
      <c r="Q82">
        <f t="shared" si="0"/>
        <v>0.47537645102739029</v>
      </c>
      <c r="R82">
        <f t="shared" si="29"/>
        <v>0.20676615907684054</v>
      </c>
      <c r="S82" s="3">
        <f t="shared" si="28"/>
        <v>0.25757587064410936</v>
      </c>
      <c r="T82" s="2">
        <f t="shared" si="9"/>
        <v>0.13101411466086826</v>
      </c>
      <c r="U82" s="3">
        <f t="shared" si="10"/>
        <v>2.045140336194478E-2</v>
      </c>
      <c r="V82">
        <v>1.74040404040404</v>
      </c>
      <c r="W82" s="13">
        <f t="shared" si="11"/>
        <v>23.69058205397986</v>
      </c>
      <c r="X82" s="2">
        <f t="shared" si="12"/>
        <v>26.466068361835589</v>
      </c>
      <c r="Y82" s="3">
        <f t="shared" si="13"/>
        <v>39.151532337904627</v>
      </c>
      <c r="Z82" s="13">
        <f t="shared" si="14"/>
        <v>6.4061185602868953</v>
      </c>
      <c r="AA82" s="2">
        <f t="shared" si="15"/>
        <v>0.15610076376032844</v>
      </c>
      <c r="AB82" s="3">
        <f t="shared" si="16"/>
        <v>0.1548510590002708</v>
      </c>
      <c r="AC82">
        <f t="shared" si="17"/>
        <v>1.4061002467053947E-2</v>
      </c>
      <c r="AD82" s="2">
        <f t="shared" si="18"/>
        <v>39914912.138831601</v>
      </c>
      <c r="AE82">
        <f t="shared" si="19"/>
        <v>44591170.909855783</v>
      </c>
      <c r="AF82" s="3">
        <f t="shared" si="20"/>
        <v>65964186.519662105</v>
      </c>
      <c r="AG82">
        <f t="shared" si="21"/>
        <v>4676258.7710241918</v>
      </c>
      <c r="AI82" s="2">
        <f t="shared" si="22"/>
        <v>212.60285883302092</v>
      </c>
      <c r="AJ82" s="2">
        <f t="shared" si="23"/>
        <v>1184.3121766927738</v>
      </c>
      <c r="AK82">
        <f t="shared" si="24"/>
        <v>26049274.380830504</v>
      </c>
      <c r="AO82" s="2">
        <f t="shared" si="25"/>
        <v>276.1060019644043</v>
      </c>
      <c r="AP82" s="3">
        <f t="shared" si="26"/>
        <v>259.858298161341</v>
      </c>
    </row>
    <row r="83" spans="1:42" ht="14.65" thickBot="1" x14ac:dyDescent="0.5">
      <c r="A83" s="2">
        <v>0.70099999999999996</v>
      </c>
      <c r="B83" s="4">
        <f t="shared" si="27"/>
        <v>55000</v>
      </c>
      <c r="C83">
        <v>1.76969696969697</v>
      </c>
      <c r="D83" s="5">
        <f t="shared" si="1"/>
        <v>1</v>
      </c>
      <c r="F83" s="2">
        <v>389.97</v>
      </c>
      <c r="G83" s="3">
        <v>2.8650000000000003E-4</v>
      </c>
      <c r="H83">
        <v>1.8505605649679999E-2</v>
      </c>
      <c r="I83">
        <v>0.115112775441816</v>
      </c>
      <c r="J83">
        <v>0</v>
      </c>
      <c r="K83" s="13">
        <v>968.07579999999996</v>
      </c>
      <c r="L83">
        <f t="shared" si="2"/>
        <v>1713.2008096969698</v>
      </c>
      <c r="M83">
        <f t="shared" si="3"/>
        <v>420.44691730511516</v>
      </c>
      <c r="N83" s="2">
        <f t="shared" si="4"/>
        <v>0.75183635697622853</v>
      </c>
      <c r="O83">
        <f t="shared" si="5"/>
        <v>1.222760692265273</v>
      </c>
      <c r="P83" s="4">
        <f t="shared" si="6"/>
        <v>9.059753850297704E-2</v>
      </c>
      <c r="Q83">
        <f t="shared" si="0"/>
        <v>0.49702691655470671</v>
      </c>
      <c r="R83">
        <f t="shared" si="29"/>
        <v>0.21051390527771019</v>
      </c>
      <c r="S83" s="3">
        <f t="shared" si="28"/>
        <v>0.25886698510175515</v>
      </c>
      <c r="T83" s="2">
        <f t="shared" si="9"/>
        <v>0.12671278538911965</v>
      </c>
      <c r="U83" s="3">
        <f t="shared" si="10"/>
        <v>2.0353871334655414E-2</v>
      </c>
      <c r="V83">
        <v>1.76969696969697</v>
      </c>
      <c r="W83" s="13">
        <f t="shared" si="11"/>
        <v>24.377956079642196</v>
      </c>
      <c r="X83" s="2">
        <f t="shared" si="12"/>
        <v>26.945779875546904</v>
      </c>
      <c r="Y83" s="3">
        <f t="shared" si="13"/>
        <v>39.347781735466789</v>
      </c>
      <c r="Z83" s="13">
        <f t="shared" si="14"/>
        <v>6.2254881789182175</v>
      </c>
      <c r="AA83" s="2">
        <f t="shared" si="15"/>
        <v>0.16062997330656995</v>
      </c>
      <c r="AB83" s="3">
        <f t="shared" si="16"/>
        <v>0.15926945029074802</v>
      </c>
      <c r="AC83">
        <f t="shared" si="17"/>
        <v>1.4229479662663806E-2</v>
      </c>
      <c r="AD83" s="2">
        <f t="shared" si="18"/>
        <v>41764334.094400175</v>
      </c>
      <c r="AE83">
        <f t="shared" si="19"/>
        <v>46163531.900703274</v>
      </c>
      <c r="AF83" s="3">
        <f t="shared" si="20"/>
        <v>67410651.528981343</v>
      </c>
      <c r="AG83">
        <f t="shared" si="21"/>
        <v>4399197.8063030913</v>
      </c>
      <c r="AI83" s="2">
        <f t="shared" si="22"/>
        <v>200.00647440371367</v>
      </c>
      <c r="AJ83" s="2">
        <f t="shared" si="23"/>
        <v>1165.9920188584649</v>
      </c>
      <c r="AK83">
        <f t="shared" si="24"/>
        <v>25646317.434581157</v>
      </c>
      <c r="AO83" s="2">
        <f t="shared" si="25"/>
        <v>288.89912801015731</v>
      </c>
      <c r="AP83" s="3">
        <f t="shared" si="26"/>
        <v>271.70841554761142</v>
      </c>
    </row>
    <row r="84" spans="1:42" ht="14.65" thickBot="1" x14ac:dyDescent="0.5">
      <c r="A84" s="2">
        <v>0.70099999999999996</v>
      </c>
      <c r="B84" s="4">
        <f t="shared" si="27"/>
        <v>55000</v>
      </c>
      <c r="C84">
        <v>1.79898989898989</v>
      </c>
      <c r="D84" s="5">
        <f t="shared" si="1"/>
        <v>1</v>
      </c>
      <c r="F84" s="2">
        <v>389.97</v>
      </c>
      <c r="G84" s="3">
        <v>2.8650000000000003E-4</v>
      </c>
      <c r="H84">
        <v>1.8498279173709001E-2</v>
      </c>
      <c r="I84">
        <v>0.11729529827191</v>
      </c>
      <c r="J84">
        <v>0</v>
      </c>
      <c r="K84" s="13">
        <v>968.07579999999996</v>
      </c>
      <c r="L84">
        <f t="shared" si="2"/>
        <v>1741.5585856565569</v>
      </c>
      <c r="M84">
        <f t="shared" si="3"/>
        <v>434.48101851701011</v>
      </c>
      <c r="N84" s="2">
        <f t="shared" si="4"/>
        <v>0.75183635697622853</v>
      </c>
      <c r="O84">
        <f t="shared" si="5"/>
        <v>1.2384796796393549</v>
      </c>
      <c r="P84" s="4">
        <f t="shared" si="6"/>
        <v>9.059753850297704E-2</v>
      </c>
      <c r="Q84">
        <f t="shared" si="0"/>
        <v>0.51975163619164111</v>
      </c>
      <c r="R84">
        <f t="shared" si="29"/>
        <v>0.21422261579950067</v>
      </c>
      <c r="S84" s="3">
        <f t="shared" si="28"/>
        <v>0.25988236137925258</v>
      </c>
      <c r="T84" s="2">
        <f t="shared" si="9"/>
        <v>0.12261985617195431</v>
      </c>
      <c r="U84" s="3">
        <f t="shared" si="10"/>
        <v>2.0261887776940268E-2</v>
      </c>
      <c r="V84">
        <v>1.79898989898989</v>
      </c>
      <c r="W84" s="13">
        <f t="shared" si="11"/>
        <v>25.077821471834898</v>
      </c>
      <c r="X84" s="2">
        <f t="shared" si="12"/>
        <v>27.420494822336085</v>
      </c>
      <c r="Y84" s="3">
        <f t="shared" si="13"/>
        <v>39.502118929646393</v>
      </c>
      <c r="Z84" s="13">
        <f t="shared" si="14"/>
        <v>6.0517488558744272</v>
      </c>
      <c r="AA84" s="2">
        <f t="shared" si="15"/>
        <v>0.16524149032214067</v>
      </c>
      <c r="AB84" s="3">
        <f t="shared" si="16"/>
        <v>0.16376169969488394</v>
      </c>
      <c r="AC84">
        <f t="shared" si="17"/>
        <v>1.4399642755848327E-2</v>
      </c>
      <c r="AD84" s="2">
        <f t="shared" si="18"/>
        <v>43674495.293836422</v>
      </c>
      <c r="AE84">
        <f t="shared" si="19"/>
        <v>47754398.180790573</v>
      </c>
      <c r="AF84" s="3">
        <f t="shared" si="20"/>
        <v>68795254.373552069</v>
      </c>
      <c r="AG84">
        <f t="shared" si="21"/>
        <v>4079902.8869541548</v>
      </c>
      <c r="AI84" s="2">
        <f t="shared" si="22"/>
        <v>185.48995254545579</v>
      </c>
      <c r="AJ84" s="2">
        <f t="shared" si="23"/>
        <v>1142.0978730895574</v>
      </c>
      <c r="AK84">
        <f t="shared" si="24"/>
        <v>25120759.079715658</v>
      </c>
      <c r="AO84" s="2">
        <f t="shared" si="25"/>
        <v>302.11240955389349</v>
      </c>
      <c r="AP84" s="3">
        <f t="shared" si="26"/>
        <v>283.92755575136448</v>
      </c>
    </row>
    <row r="85" spans="1:42" ht="14.65" thickBot="1" x14ac:dyDescent="0.5">
      <c r="A85" s="2">
        <v>0.70099999999999996</v>
      </c>
      <c r="B85" s="4">
        <f t="shared" si="27"/>
        <v>55000</v>
      </c>
      <c r="C85">
        <v>1.8282828282828201</v>
      </c>
      <c r="D85" s="5">
        <f t="shared" si="1"/>
        <v>1</v>
      </c>
      <c r="F85" s="2">
        <v>389.97</v>
      </c>
      <c r="G85" s="3">
        <v>2.8650000000000003E-4</v>
      </c>
      <c r="H85">
        <v>1.8491169220121999E-2</v>
      </c>
      <c r="I85">
        <v>0.119467830554199</v>
      </c>
      <c r="J85">
        <v>0</v>
      </c>
      <c r="K85" s="13">
        <v>968.07579999999996</v>
      </c>
      <c r="L85">
        <f t="shared" si="2"/>
        <v>1769.9163616161536</v>
      </c>
      <c r="M85">
        <f t="shared" si="3"/>
        <v>448.74551255944772</v>
      </c>
      <c r="N85" s="2">
        <f t="shared" si="4"/>
        <v>0.75183635697622853</v>
      </c>
      <c r="O85">
        <f t="shared" si="5"/>
        <v>1.2544567200187344</v>
      </c>
      <c r="P85" s="4">
        <f t="shared" si="6"/>
        <v>9.059753850297704E-2</v>
      </c>
      <c r="Q85">
        <f t="shared" si="0"/>
        <v>0.54360025876585882</v>
      </c>
      <c r="R85">
        <f t="shared" si="29"/>
        <v>0.2178774895262908</v>
      </c>
      <c r="S85" s="3">
        <f t="shared" si="28"/>
        <v>0.26059428445539817</v>
      </c>
      <c r="T85" s="2">
        <f t="shared" si="9"/>
        <v>0.11872207856996062</v>
      </c>
      <c r="U85" s="3">
        <f t="shared" si="10"/>
        <v>2.0175060160799528E-2</v>
      </c>
      <c r="V85">
        <v>1.8282828282828201</v>
      </c>
      <c r="W85" s="13">
        <f t="shared" si="11"/>
        <v>25.790160799998436</v>
      </c>
      <c r="X85" s="2">
        <f t="shared" si="12"/>
        <v>27.888318659365222</v>
      </c>
      <c r="Y85" s="3">
        <f t="shared" si="13"/>
        <v>39.610331237220528</v>
      </c>
      <c r="Z85" s="13">
        <f t="shared" si="14"/>
        <v>5.884596012290439</v>
      </c>
      <c r="AA85" s="2">
        <f t="shared" si="15"/>
        <v>0.16993519995449505</v>
      </c>
      <c r="AB85" s="3">
        <f t="shared" si="16"/>
        <v>0.16832717654765231</v>
      </c>
      <c r="AC85">
        <f t="shared" si="17"/>
        <v>1.4571400863512451E-2</v>
      </c>
      <c r="AD85" s="2">
        <f t="shared" si="18"/>
        <v>45646427.568628781</v>
      </c>
      <c r="AE85">
        <f t="shared" si="19"/>
        <v>49359991.493175581</v>
      </c>
      <c r="AF85" s="3">
        <f t="shared" si="20"/>
        <v>70106973.34579204</v>
      </c>
      <c r="AG85">
        <f t="shared" si="21"/>
        <v>3713563.924546795</v>
      </c>
      <c r="AI85" s="2">
        <f t="shared" si="22"/>
        <v>168.83460592684489</v>
      </c>
      <c r="AJ85" s="2">
        <f t="shared" si="23"/>
        <v>1112.0817335995926</v>
      </c>
      <c r="AK85">
        <f t="shared" si="24"/>
        <v>24460545.777163245</v>
      </c>
      <c r="AO85" s="2">
        <f t="shared" si="25"/>
        <v>315.75298415026862</v>
      </c>
      <c r="AP85" s="3">
        <f t="shared" si="26"/>
        <v>296.5201125186278</v>
      </c>
    </row>
    <row r="86" spans="1:42" ht="14.65" thickBot="1" x14ac:dyDescent="0.5">
      <c r="A86" s="2">
        <v>0.70099999999999996</v>
      </c>
      <c r="B86" s="4">
        <f t="shared" si="27"/>
        <v>55000</v>
      </c>
      <c r="C86">
        <v>1.8575757575757501</v>
      </c>
      <c r="D86" s="5">
        <f t="shared" si="1"/>
        <v>1</v>
      </c>
      <c r="F86" s="2">
        <v>389.97</v>
      </c>
      <c r="G86" s="3">
        <v>2.8650000000000003E-4</v>
      </c>
      <c r="H86">
        <v>1.8484257656278001E-2</v>
      </c>
      <c r="I86">
        <v>0.121630851259595</v>
      </c>
      <c r="J86">
        <v>0</v>
      </c>
      <c r="K86" s="13">
        <v>968.07579999999996</v>
      </c>
      <c r="L86">
        <f t="shared" si="2"/>
        <v>1798.2741375757503</v>
      </c>
      <c r="M86">
        <f t="shared" si="3"/>
        <v>463.24039943242309</v>
      </c>
      <c r="N86" s="2">
        <f t="shared" si="4"/>
        <v>0.75183635697622853</v>
      </c>
      <c r="O86">
        <f t="shared" si="5"/>
        <v>1.2706918134034058</v>
      </c>
      <c r="P86" s="4">
        <f t="shared" si="6"/>
        <v>9.059753850297704E-2</v>
      </c>
      <c r="Q86">
        <f t="shared" si="0"/>
        <v>0.56862451369834843</v>
      </c>
      <c r="R86">
        <f t="shared" si="29"/>
        <v>0.22146246997590513</v>
      </c>
      <c r="S86" s="3">
        <f t="shared" si="28"/>
        <v>0.26097338612251458</v>
      </c>
      <c r="T86" s="2">
        <f t="shared" si="9"/>
        <v>0.11500724044205869</v>
      </c>
      <c r="U86" s="3">
        <f t="shared" si="10"/>
        <v>2.0093028222622673E-2</v>
      </c>
      <c r="V86">
        <v>1.8575757575757501</v>
      </c>
      <c r="W86" s="13">
        <f t="shared" si="11"/>
        <v>26.514956227749298</v>
      </c>
      <c r="X86" s="2">
        <f t="shared" si="12"/>
        <v>28.347196156915857</v>
      </c>
      <c r="Y86" s="3">
        <f t="shared" si="13"/>
        <v>39.667954690622217</v>
      </c>
      <c r="Z86" s="13">
        <f t="shared" si="14"/>
        <v>5.7237385608493012</v>
      </c>
      <c r="AA86" s="2">
        <f t="shared" si="15"/>
        <v>0.17471098467705307</v>
      </c>
      <c r="AB86" s="3">
        <f t="shared" si="16"/>
        <v>0.17296522545838025</v>
      </c>
      <c r="AC86">
        <f t="shared" si="17"/>
        <v>1.4744668609589224E-2</v>
      </c>
      <c r="AD86" s="2">
        <f t="shared" si="18"/>
        <v>47681160.043314636</v>
      </c>
      <c r="AE86">
        <f t="shared" si="19"/>
        <v>50976029.721768484</v>
      </c>
      <c r="AF86" s="3">
        <f t="shared" si="20"/>
        <v>71333857.010672614</v>
      </c>
      <c r="AG86">
        <f t="shared" si="21"/>
        <v>3294869.678453844</v>
      </c>
      <c r="AI86" s="2">
        <f t="shared" si="22"/>
        <v>149.79896267975369</v>
      </c>
      <c r="AJ86" s="2">
        <f t="shared" si="23"/>
        <v>1075.3534482588225</v>
      </c>
      <c r="AK86">
        <f t="shared" si="24"/>
        <v>23652696.967357967</v>
      </c>
      <c r="AO86" s="2">
        <f t="shared" si="25"/>
        <v>329.827970628971</v>
      </c>
      <c r="AP86" s="3">
        <f t="shared" si="26"/>
        <v>309.49031972882204</v>
      </c>
    </row>
    <row r="87" spans="1:42" ht="14.65" thickBot="1" x14ac:dyDescent="0.5">
      <c r="A87" s="2">
        <v>0.70099999999999996</v>
      </c>
      <c r="B87" s="4">
        <f t="shared" si="27"/>
        <v>55000</v>
      </c>
      <c r="C87">
        <v>1.8868686868686799</v>
      </c>
      <c r="D87" s="5">
        <f t="shared" si="1"/>
        <v>1</v>
      </c>
      <c r="F87" s="2">
        <v>389.97</v>
      </c>
      <c r="G87" s="3">
        <v>2.8650000000000003E-4</v>
      </c>
      <c r="H87">
        <v>1.8477528747407001E-2</v>
      </c>
      <c r="I87">
        <v>0.123784816850587</v>
      </c>
      <c r="J87">
        <v>0</v>
      </c>
      <c r="K87" s="13">
        <v>968.07579999999996</v>
      </c>
      <c r="L87">
        <f t="shared" si="2"/>
        <v>1826.6319135353467</v>
      </c>
      <c r="M87">
        <f t="shared" si="3"/>
        <v>477.96567913593623</v>
      </c>
      <c r="N87" s="2">
        <f t="shared" si="4"/>
        <v>0.75183635697622853</v>
      </c>
      <c r="O87">
        <f t="shared" si="5"/>
        <v>1.2871849597933693</v>
      </c>
      <c r="P87" s="4">
        <f t="shared" si="6"/>
        <v>9.059753850297704E-2</v>
      </c>
      <c r="Q87">
        <f t="shared" si="0"/>
        <v>0.59487828310973334</v>
      </c>
      <c r="R87">
        <f t="shared" si="29"/>
        <v>0.22496016840650745</v>
      </c>
      <c r="S87" s="3">
        <f t="shared" si="28"/>
        <v>0.2609885713364839</v>
      </c>
      <c r="T87" s="2">
        <f t="shared" si="9"/>
        <v>0.1114640701740595</v>
      </c>
      <c r="U87" s="3">
        <f t="shared" si="10"/>
        <v>2.001546088907407E-2</v>
      </c>
      <c r="V87">
        <v>1.8868686868686799</v>
      </c>
      <c r="W87" s="13">
        <f t="shared" si="11"/>
        <v>27.252189518103375</v>
      </c>
      <c r="X87" s="2">
        <f t="shared" si="12"/>
        <v>28.794901556032954</v>
      </c>
      <c r="Y87" s="3">
        <f t="shared" si="13"/>
        <v>39.670262843145551</v>
      </c>
      <c r="Z87" s="13">
        <f t="shared" si="14"/>
        <v>5.568898502602301</v>
      </c>
      <c r="AA87" s="2">
        <f t="shared" si="15"/>
        <v>0.1795687243236177</v>
      </c>
      <c r="AB87" s="3">
        <f t="shared" si="16"/>
        <v>0.17767516596967659</v>
      </c>
      <c r="AC87">
        <f t="shared" si="17"/>
        <v>1.4919365700426335E-2</v>
      </c>
      <c r="AD87" s="2">
        <f t="shared" si="18"/>
        <v>49779719.087481081</v>
      </c>
      <c r="AE87">
        <f t="shared" si="19"/>
        <v>52597686.129358411</v>
      </c>
      <c r="AF87" s="3">
        <f t="shared" si="20"/>
        <v>72462968.127625123</v>
      </c>
      <c r="AG87">
        <f t="shared" si="21"/>
        <v>2817967.0418773186</v>
      </c>
      <c r="AI87" s="2">
        <f t="shared" si="22"/>
        <v>128.11691536675437</v>
      </c>
      <c r="AJ87" s="2">
        <f t="shared" si="23"/>
        <v>1031.2781712248516</v>
      </c>
      <c r="AK87">
        <f t="shared" si="24"/>
        <v>22683249.040144037</v>
      </c>
      <c r="AO87" s="2">
        <f t="shared" si="25"/>
        <v>344.34446876269334</v>
      </c>
      <c r="AP87" s="3">
        <f t="shared" si="26"/>
        <v>322.84224589938026</v>
      </c>
    </row>
    <row r="88" spans="1:42" ht="14.65" thickBot="1" x14ac:dyDescent="0.5">
      <c r="A88" s="2">
        <v>0.70099999999999996</v>
      </c>
      <c r="B88" s="4">
        <f t="shared" si="27"/>
        <v>55000</v>
      </c>
      <c r="C88">
        <v>1.91616161616161</v>
      </c>
      <c r="D88" s="5">
        <f t="shared" si="1"/>
        <v>1</v>
      </c>
      <c r="F88" s="2">
        <v>389.97</v>
      </c>
      <c r="G88" s="3">
        <v>2.8650000000000003E-4</v>
      </c>
      <c r="H88">
        <v>1.8470968734846001E-2</v>
      </c>
      <c r="I88">
        <v>0.125930160842152</v>
      </c>
      <c r="J88">
        <v>0</v>
      </c>
      <c r="K88" s="13">
        <v>968.07579999999996</v>
      </c>
      <c r="L88">
        <f t="shared" si="2"/>
        <v>1854.9896894949434</v>
      </c>
      <c r="M88">
        <f t="shared" si="3"/>
        <v>492.9213516699873</v>
      </c>
      <c r="N88" s="2">
        <f t="shared" si="4"/>
        <v>0.75183635697622853</v>
      </c>
      <c r="O88">
        <f t="shared" si="5"/>
        <v>1.3039361591886254</v>
      </c>
      <c r="P88" s="4">
        <f t="shared" si="6"/>
        <v>9.059753850297704E-2</v>
      </c>
      <c r="Q88">
        <f t="shared" si="0"/>
        <v>0.62241767584038299</v>
      </c>
      <c r="R88">
        <f t="shared" si="29"/>
        <v>0.22835178346214385</v>
      </c>
      <c r="S88" s="3">
        <f t="shared" si="28"/>
        <v>0.26060694231112641</v>
      </c>
      <c r="T88" s="2">
        <f t="shared" si="9"/>
        <v>0.10808215107644288</v>
      </c>
      <c r="U88" s="3">
        <f t="shared" si="10"/>
        <v>1.9942053565212531E-2</v>
      </c>
      <c r="V88">
        <v>1.91616161616161</v>
      </c>
      <c r="W88" s="13">
        <f t="shared" si="11"/>
        <v>28.001842079155679</v>
      </c>
      <c r="X88" s="2">
        <f t="shared" si="12"/>
        <v>29.229028283154413</v>
      </c>
      <c r="Y88" s="3">
        <f t="shared" si="13"/>
        <v>39.612255231291215</v>
      </c>
      <c r="Z88" s="13">
        <f t="shared" si="14"/>
        <v>5.4198104885739733</v>
      </c>
      <c r="AA88" s="2">
        <f t="shared" si="15"/>
        <v>0.18450829638936578</v>
      </c>
      <c r="AB88" s="3">
        <f t="shared" si="16"/>
        <v>0.18245629249835721</v>
      </c>
      <c r="AC88">
        <f t="shared" si="17"/>
        <v>1.509541656092963E-2</v>
      </c>
      <c r="AD88" s="2">
        <f t="shared" si="18"/>
        <v>51943128.343699433</v>
      </c>
      <c r="AE88">
        <f t="shared" si="19"/>
        <v>54219546.09920752</v>
      </c>
      <c r="AF88" s="3">
        <f t="shared" si="20"/>
        <v>73480325.031687334</v>
      </c>
      <c r="AG88">
        <f t="shared" si="21"/>
        <v>2276417.7555080927</v>
      </c>
      <c r="AI88" s="2">
        <f t="shared" si="22"/>
        <v>103.4957529977046</v>
      </c>
      <c r="AJ88" s="2">
        <f t="shared" si="23"/>
        <v>979.17369660713575</v>
      </c>
      <c r="AK88">
        <f t="shared" si="24"/>
        <v>21537196.687987909</v>
      </c>
      <c r="AO88" s="2">
        <f t="shared" si="25"/>
        <v>359.30955946036562</v>
      </c>
      <c r="AP88" s="3">
        <f t="shared" si="26"/>
        <v>336.57978918174854</v>
      </c>
    </row>
    <row r="89" spans="1:42" ht="14.65" thickBot="1" x14ac:dyDescent="0.5">
      <c r="A89" s="2">
        <v>0.70099999999999996</v>
      </c>
      <c r="B89" s="4">
        <f t="shared" si="27"/>
        <v>55000</v>
      </c>
      <c r="C89">
        <v>1.94545454545454</v>
      </c>
      <c r="D89" s="5">
        <f t="shared" si="1"/>
        <v>1</v>
      </c>
      <c r="F89" s="2">
        <v>389.97</v>
      </c>
      <c r="G89" s="3">
        <v>2.8650000000000003E-4</v>
      </c>
      <c r="H89">
        <v>1.8464565505116E-2</v>
      </c>
      <c r="I89">
        <v>0.12806729394827099</v>
      </c>
      <c r="J89">
        <v>0</v>
      </c>
      <c r="K89" s="13">
        <v>968.07579999999996</v>
      </c>
      <c r="L89">
        <f t="shared" si="2"/>
        <v>1883.34746545454</v>
      </c>
      <c r="M89">
        <f t="shared" si="3"/>
        <v>508.10741703457626</v>
      </c>
      <c r="N89" s="2">
        <f t="shared" si="4"/>
        <v>0.75183635697622853</v>
      </c>
      <c r="O89">
        <f t="shared" si="5"/>
        <v>1.3209454115891734</v>
      </c>
      <c r="P89" s="4">
        <f t="shared" si="6"/>
        <v>9.059753850297704E-2</v>
      </c>
      <c r="Q89">
        <f t="shared" si="0"/>
        <v>0.65130110341314873</v>
      </c>
      <c r="R89">
        <f t="shared" si="29"/>
        <v>0.23161701724405048</v>
      </c>
      <c r="S89" s="3">
        <f t="shared" si="28"/>
        <v>0.25979372031630749</v>
      </c>
      <c r="T89" s="2">
        <f t="shared" si="9"/>
        <v>0.10485184473576502</v>
      </c>
      <c r="U89" s="3">
        <f t="shared" si="10"/>
        <v>1.9872525724777823E-2</v>
      </c>
      <c r="V89">
        <v>1.94545454545454</v>
      </c>
      <c r="W89" s="13">
        <f t="shared" si="11"/>
        <v>28.763895030598025</v>
      </c>
      <c r="X89" s="2">
        <f t="shared" si="12"/>
        <v>29.646978207238462</v>
      </c>
      <c r="Y89" s="3">
        <f t="shared" si="13"/>
        <v>39.488645488078738</v>
      </c>
      <c r="Z89" s="13">
        <f t="shared" si="14"/>
        <v>5.2762213614866145</v>
      </c>
      <c r="AA89" s="2">
        <f t="shared" si="15"/>
        <v>0.18952957646914242</v>
      </c>
      <c r="AB89" s="3">
        <f t="shared" si="16"/>
        <v>0.18730787443203453</v>
      </c>
      <c r="AC89">
        <f t="shared" si="17"/>
        <v>1.527275001464265E-2</v>
      </c>
      <c r="AD89" s="2">
        <f t="shared" si="18"/>
        <v>54172408.802477226</v>
      </c>
      <c r="AE89">
        <f t="shared" si="19"/>
        <v>55835561.264988534</v>
      </c>
      <c r="AF89" s="3">
        <f t="shared" si="20"/>
        <v>74370840.394205958</v>
      </c>
      <c r="AG89">
        <f t="shared" si="21"/>
        <v>1663152.4625113113</v>
      </c>
      <c r="AI89" s="2">
        <f t="shared" si="22"/>
        <v>75.614072171553531</v>
      </c>
      <c r="AJ89" s="2">
        <f t="shared" si="23"/>
        <v>918.30767085718969</v>
      </c>
      <c r="AK89">
        <f t="shared" si="24"/>
        <v>20198431.591728713</v>
      </c>
      <c r="AO89" s="2">
        <f t="shared" si="25"/>
        <v>374.73030528562566</v>
      </c>
      <c r="AP89" s="3">
        <f t="shared" si="26"/>
        <v>350.70667267344913</v>
      </c>
    </row>
    <row r="90" spans="1:42" ht="14.65" thickBot="1" x14ac:dyDescent="0.5">
      <c r="A90" s="2">
        <v>0.70099999999999996</v>
      </c>
      <c r="B90" s="4">
        <f t="shared" si="27"/>
        <v>55000</v>
      </c>
      <c r="C90">
        <v>1.97474747474747</v>
      </c>
      <c r="D90" s="5">
        <f t="shared" si="1"/>
        <v>1</v>
      </c>
      <c r="F90" s="2">
        <v>389.97</v>
      </c>
      <c r="G90" s="3">
        <v>2.8650000000000003E-4</v>
      </c>
      <c r="H90">
        <v>1.8458308327015002E-2</v>
      </c>
      <c r="I90">
        <v>0.130196604614505</v>
      </c>
      <c r="J90">
        <v>0</v>
      </c>
      <c r="K90" s="13">
        <v>968.07579999999996</v>
      </c>
      <c r="L90">
        <f t="shared" si="2"/>
        <v>1911.7052414141367</v>
      </c>
      <c r="M90">
        <f t="shared" si="3"/>
        <v>523.52387522970309</v>
      </c>
      <c r="N90" s="2">
        <f t="shared" si="4"/>
        <v>0.75183635697622853</v>
      </c>
      <c r="O90">
        <f t="shared" si="5"/>
        <v>1.3382127169950135</v>
      </c>
      <c r="P90" s="4">
        <f t="shared" si="6"/>
        <v>9.059753850297704E-2</v>
      </c>
      <c r="Q90">
        <f t="shared" ref="Q90:Q125" si="30">P90*(1 + (1.4 - 1)/2 *C90^2)^(1.4/0.4)</f>
        <v>0.68158935796758358</v>
      </c>
      <c r="R90">
        <f t="shared" si="29"/>
        <v>0.23473398769253129</v>
      </c>
      <c r="S90" s="3">
        <f t="shared" si="28"/>
        <v>0.25851216513908165</v>
      </c>
      <c r="T90" s="2">
        <f t="shared" si="9"/>
        <v>0.10176422226517261</v>
      </c>
      <c r="U90" s="3">
        <f t="shared" si="10"/>
        <v>1.9806618757256301E-2</v>
      </c>
      <c r="V90">
        <v>1.97474747474747</v>
      </c>
      <c r="W90" s="13">
        <f t="shared" si="11"/>
        <v>29.538329278899567</v>
      </c>
      <c r="X90" s="2">
        <f t="shared" si="12"/>
        <v>30.045950424644005</v>
      </c>
      <c r="Y90" s="3">
        <f t="shared" si="13"/>
        <v>39.29384910114041</v>
      </c>
      <c r="Z90" s="13">
        <f t="shared" si="14"/>
        <v>5.1378896879049858</v>
      </c>
      <c r="AA90" s="2">
        <f t="shared" si="15"/>
        <v>0.19463243875283701</v>
      </c>
      <c r="AB90" s="3">
        <f t="shared" si="16"/>
        <v>0.19222915630365023</v>
      </c>
      <c r="AC90">
        <f t="shared" si="17"/>
        <v>1.5451298996831394E-2</v>
      </c>
      <c r="AD90" s="2">
        <f t="shared" si="18"/>
        <v>56468578.905088961</v>
      </c>
      <c r="AE90">
        <f t="shared" si="19"/>
        <v>57439000.910061255</v>
      </c>
      <c r="AF90" s="3">
        <f t="shared" si="20"/>
        <v>75118257.281986281</v>
      </c>
      <c r="AG90">
        <f t="shared" si="21"/>
        <v>970422.00497228955</v>
      </c>
      <c r="AI90" s="2">
        <f t="shared" si="22"/>
        <v>44.119562803064021</v>
      </c>
      <c r="AJ90" s="2">
        <f t="shared" si="23"/>
        <v>847.89468106709137</v>
      </c>
      <c r="AK90">
        <f t="shared" si="24"/>
        <v>18649678.376897328</v>
      </c>
      <c r="AO90" s="2">
        <f t="shared" si="25"/>
        <v>390.6137511681369</v>
      </c>
      <c r="AP90" s="3">
        <f t="shared" si="26"/>
        <v>365.22643993506722</v>
      </c>
    </row>
    <row r="91" spans="1:42" ht="14.65" thickBot="1" x14ac:dyDescent="0.5">
      <c r="A91" s="2">
        <v>0.70099999999999996</v>
      </c>
      <c r="B91" s="4">
        <f t="shared" si="27"/>
        <v>55000</v>
      </c>
      <c r="C91">
        <v>2.0040404040404001</v>
      </c>
      <c r="D91" s="5">
        <f t="shared" ref="D91:D125" si="31">D90</f>
        <v>1</v>
      </c>
      <c r="F91" s="2">
        <v>389.97</v>
      </c>
      <c r="G91" s="3">
        <v>2.8650000000000003E-4</v>
      </c>
      <c r="H91">
        <v>1.8452187640381E-2</v>
      </c>
      <c r="I91">
        <v>0.132318459797232</v>
      </c>
      <c r="J91">
        <v>0</v>
      </c>
      <c r="K91" s="13">
        <v>968.07579999999996</v>
      </c>
      <c r="L91">
        <f t="shared" ref="L91:L125" si="32">C91*K91</f>
        <v>1940.0630173737334</v>
      </c>
      <c r="M91">
        <f t="shared" ref="M91:M125" si="33">0.5*G91*L91^2</f>
        <v>539.17072625536764</v>
      </c>
      <c r="N91" s="2">
        <f t="shared" ref="N91:N125" si="34">F91/518.69</f>
        <v>0.75183635697622853</v>
      </c>
      <c r="O91">
        <f t="shared" ref="O91:O125" si="35">N91 * (1 + (1.4 - 1)/2 * C91^2)</f>
        <v>1.3557380754061457</v>
      </c>
      <c r="P91" s="4">
        <f t="shared" ref="P91:P125" si="36">G91*1716*F91/2116.2</f>
        <v>9.059753850297704E-2</v>
      </c>
      <c r="Q91">
        <f t="shared" si="30"/>
        <v>0.71334569219457578</v>
      </c>
      <c r="R91">
        <f t="shared" si="29"/>
        <v>0.23767913716220374</v>
      </c>
      <c r="S91" s="3">
        <f t="shared" si="28"/>
        <v>0.25672349216710533</v>
      </c>
      <c r="T91" s="2">
        <f t="shared" ref="T91:T125" si="37">A91 *1/M91 * 76</f>
        <v>9.8811002537194242E-2</v>
      </c>
      <c r="U91" s="3">
        <f t="shared" ref="U91:U125" si="38">H91+I91*T91^2 + J91 * T91</f>
        <v>1.9744094036344032E-2</v>
      </c>
      <c r="V91">
        <v>2.0040404040404001</v>
      </c>
      <c r="W91" s="13">
        <f t="shared" ref="W91:W125" si="39">(M91*U91*2713/1000)*1.05</f>
        <v>30.325125593712052</v>
      </c>
      <c r="X91" s="2">
        <f t="shared" ref="X91:X125" si="40">(32000 * 4)*R91/1000</f>
        <v>30.422929556762078</v>
      </c>
      <c r="Y91" s="3">
        <f t="shared" ref="Y91:Y125" si="41">(38000 * 4)*S91/1000</f>
        <v>39.02197080940001</v>
      </c>
      <c r="Z91" s="13">
        <f t="shared" ref="Z91:Z125" si="42">T91/U91</f>
        <v>5.0045852878996335</v>
      </c>
      <c r="AA91" s="2">
        <f t="shared" ref="AA91:AA125" si="43">1/Z91</f>
        <v>0.19981675652882888</v>
      </c>
      <c r="AB91" s="3">
        <f t="shared" ref="AB91:AB125" si="44">ATAN(AA91)</f>
        <v>0.19721935799714754</v>
      </c>
      <c r="AC91">
        <f t="shared" ref="AC91:AC125" si="45">W91/L91</f>
        <v>1.5631000293363267E-2</v>
      </c>
      <c r="AD91" s="2">
        <f t="shared" ref="AD91:AD125" si="46">W91*L91*1000</f>
        <v>58832654.661574431</v>
      </c>
      <c r="AE91">
        <f t="shared" ref="AE91:AE125" si="47">X91*L91*1000</f>
        <v>59022400.513240375</v>
      </c>
      <c r="AF91" s="3">
        <f t="shared" ref="AF91:AF125" si="48">Y91*L91*1000</f>
        <v>75705082.432354331</v>
      </c>
      <c r="AG91">
        <f t="shared" ref="AG91:AG125" si="49">L91*(X91*1000 - W91*1000)</f>
        <v>189745.85166594636</v>
      </c>
      <c r="AI91" s="2">
        <f t="shared" ref="AI91:AI125" si="50">L91*(X91*1000 - W91*1000)/(A91*31377)</f>
        <v>8.6266634271505822</v>
      </c>
      <c r="AJ91" s="2">
        <f t="shared" ref="AJ91:AJ125" si="51">L91*(Y91*1000-W91*1000)/(A91*31377)</f>
        <v>767.09321600177611</v>
      </c>
      <c r="AK91">
        <f t="shared" ref="AK91:AK125" si="52">L91*(Y91*1000-W91*1000)</f>
        <v>16872427.770779897</v>
      </c>
      <c r="AO91" s="2">
        <f t="shared" ref="AO91:AO125" si="53">AD91/(A91*206225)</f>
        <v>406.96692521982567</v>
      </c>
      <c r="AP91" s="3">
        <f t="shared" ref="AP91:AP125" si="54">L91*SIN(AB91)</f>
        <v>380.14245064336836</v>
      </c>
    </row>
    <row r="92" spans="1:42" ht="14.65" thickBot="1" x14ac:dyDescent="0.5">
      <c r="A92" s="2">
        <v>0.70099999999999996</v>
      </c>
      <c r="B92" s="4">
        <f t="shared" si="27"/>
        <v>55000</v>
      </c>
      <c r="C92">
        <v>2.0333333333333301</v>
      </c>
      <c r="D92" s="5">
        <f t="shared" si="31"/>
        <v>1</v>
      </c>
      <c r="F92" s="2">
        <v>389.97</v>
      </c>
      <c r="G92" s="3">
        <v>2.8650000000000003E-4</v>
      </c>
      <c r="H92">
        <v>1.8446194884634001E-2</v>
      </c>
      <c r="I92">
        <v>0.134433205892279</v>
      </c>
      <c r="J92">
        <v>0</v>
      </c>
      <c r="K92" s="13">
        <v>968.07579999999996</v>
      </c>
      <c r="L92">
        <f t="shared" si="32"/>
        <v>1968.42079333333</v>
      </c>
      <c r="M92">
        <f t="shared" si="33"/>
        <v>555.04797011157018</v>
      </c>
      <c r="N92" s="2">
        <f t="shared" si="34"/>
        <v>0.75183635697622853</v>
      </c>
      <c r="O92">
        <f t="shared" si="35"/>
        <v>1.37352148682257</v>
      </c>
      <c r="P92" s="4">
        <f t="shared" si="36"/>
        <v>9.059753850297704E-2</v>
      </c>
      <c r="Q92">
        <f t="shared" si="30"/>
        <v>0.7466359013004118</v>
      </c>
      <c r="R92">
        <f t="shared" si="29"/>
        <v>0.2404271370713971</v>
      </c>
      <c r="S92" s="3">
        <f t="shared" si="28"/>
        <v>0.25438678705347512</v>
      </c>
      <c r="T92" s="2">
        <f t="shared" si="37"/>
        <v>9.5984496599980332E-2</v>
      </c>
      <c r="U92" s="3">
        <f t="shared" si="38"/>
        <v>1.9684731181469753E-2</v>
      </c>
      <c r="V92">
        <v>2.0333333333333301</v>
      </c>
      <c r="W92" s="13">
        <f t="shared" si="39"/>
        <v>31.124264681116117</v>
      </c>
      <c r="X92" s="2">
        <f t="shared" si="40"/>
        <v>30.774673545138828</v>
      </c>
      <c r="Y92" s="3">
        <f t="shared" si="41"/>
        <v>38.666791632128216</v>
      </c>
      <c r="Z92" s="13">
        <f t="shared" si="42"/>
        <v>4.8760887672337363</v>
      </c>
      <c r="AA92" s="2">
        <f t="shared" si="43"/>
        <v>0.20508240266661756</v>
      </c>
      <c r="AB92" s="3">
        <f t="shared" si="44"/>
        <v>0.20227767495739499</v>
      </c>
      <c r="AC92">
        <f t="shared" si="45"/>
        <v>1.5811794300552063E-2</v>
      </c>
      <c r="AD92" s="2">
        <f t="shared" si="46"/>
        <v>61265649.775519133</v>
      </c>
      <c r="AE92">
        <f t="shared" si="47"/>
        <v>60577507.314296417</v>
      </c>
      <c r="AF92" s="3">
        <f t="shared" si="48"/>
        <v>76112516.660168394</v>
      </c>
      <c r="AG92">
        <f t="shared" si="49"/>
        <v>-688142.46122271894</v>
      </c>
      <c r="AI92" s="2">
        <f t="shared" si="50"/>
        <v>-31.285919300889869</v>
      </c>
      <c r="AJ92" s="2">
        <f t="shared" si="51"/>
        <v>675.00249642908614</v>
      </c>
      <c r="AK92">
        <f t="shared" si="52"/>
        <v>14846866.88464926</v>
      </c>
      <c r="AO92" s="2">
        <f t="shared" si="53"/>
        <v>423.79683959803293</v>
      </c>
      <c r="AP92" s="3">
        <f t="shared" si="54"/>
        <v>395.4578763403548</v>
      </c>
    </row>
    <row r="93" spans="1:42" ht="14.65" thickBot="1" x14ac:dyDescent="0.5">
      <c r="A93" s="2">
        <v>0.70099999999999996</v>
      </c>
      <c r="B93" s="4">
        <f t="shared" si="27"/>
        <v>55000</v>
      </c>
      <c r="C93">
        <v>2.0626262626262601</v>
      </c>
      <c r="D93" s="5">
        <f t="shared" si="31"/>
        <v>1</v>
      </c>
      <c r="F93" s="2">
        <v>389.97</v>
      </c>
      <c r="G93" s="3">
        <v>2.8650000000000003E-4</v>
      </c>
      <c r="H93">
        <v>1.8440322358299999E-2</v>
      </c>
      <c r="I93">
        <v>0.136541169745167</v>
      </c>
      <c r="J93">
        <v>0</v>
      </c>
      <c r="K93" s="13">
        <v>968.07579999999996</v>
      </c>
      <c r="L93">
        <f t="shared" si="32"/>
        <v>1996.7785692929267</v>
      </c>
      <c r="M93">
        <f t="shared" si="33"/>
        <v>571.15560679831049</v>
      </c>
      <c r="N93" s="2">
        <f t="shared" si="34"/>
        <v>0.75183635697622853</v>
      </c>
      <c r="O93">
        <f t="shared" si="35"/>
        <v>1.3915629512442866</v>
      </c>
      <c r="P93" s="4">
        <f t="shared" si="36"/>
        <v>9.059753850297704E-2</v>
      </c>
      <c r="Q93">
        <f t="shared" si="30"/>
        <v>0.78152840702934379</v>
      </c>
      <c r="R93">
        <f t="shared" si="29"/>
        <v>0.24295078850446564</v>
      </c>
      <c r="S93" s="3">
        <f t="shared" si="28"/>
        <v>0.25145891792207264</v>
      </c>
      <c r="T93" s="2">
        <f t="shared" si="37"/>
        <v>9.3277557579528589E-2</v>
      </c>
      <c r="U93" s="3">
        <f t="shared" si="38"/>
        <v>1.9628326489117217E-2</v>
      </c>
      <c r="V93">
        <v>2.0626262626262601</v>
      </c>
      <c r="W93" s="13">
        <f t="shared" si="39"/>
        <v>31.935727251251684</v>
      </c>
      <c r="X93" s="2">
        <f t="shared" si="40"/>
        <v>31.097700928571602</v>
      </c>
      <c r="Y93" s="3">
        <f t="shared" si="41"/>
        <v>38.221755524155043</v>
      </c>
      <c r="Z93" s="13">
        <f t="shared" si="42"/>
        <v>4.7521910556789271</v>
      </c>
      <c r="AA93" s="2">
        <f t="shared" si="43"/>
        <v>0.21042925006245017</v>
      </c>
      <c r="AB93" s="3">
        <f t="shared" si="44"/>
        <v>0.20740327839002529</v>
      </c>
      <c r="AC93">
        <f t="shared" si="45"/>
        <v>1.5993624802654181E-2</v>
      </c>
      <c r="AD93" s="2">
        <f t="shared" si="46"/>
        <v>63768575.770083465</v>
      </c>
      <c r="AE93">
        <f t="shared" si="47"/>
        <v>62095222.768452518</v>
      </c>
      <c r="AF93" s="3">
        <f t="shared" si="48"/>
        <v>76320382.311386317</v>
      </c>
      <c r="AG93">
        <f t="shared" si="49"/>
        <v>-1673353.0016309461</v>
      </c>
      <c r="AI93" s="2">
        <f t="shared" si="50"/>
        <v>-76.077832601560146</v>
      </c>
      <c r="AJ93" s="2">
        <f t="shared" si="51"/>
        <v>570.65917111672934</v>
      </c>
      <c r="AK93">
        <f t="shared" si="52"/>
        <v>12551806.54130286</v>
      </c>
      <c r="AO93" s="2">
        <f t="shared" si="53"/>
        <v>441.11049137730419</v>
      </c>
      <c r="AP93" s="3">
        <f t="shared" si="54"/>
        <v>411.17569625707972</v>
      </c>
    </row>
    <row r="94" spans="1:42" ht="14.65" thickBot="1" x14ac:dyDescent="0.5">
      <c r="A94" s="2">
        <v>0.70099999999999996</v>
      </c>
      <c r="B94" s="4">
        <f t="shared" si="27"/>
        <v>55000</v>
      </c>
      <c r="C94">
        <v>2.0919191919191902</v>
      </c>
      <c r="D94" s="5">
        <f t="shared" si="31"/>
        <v>1</v>
      </c>
      <c r="F94" s="2">
        <v>389.97</v>
      </c>
      <c r="G94" s="3">
        <v>2.8650000000000003E-4</v>
      </c>
      <c r="H94">
        <v>1.8434563102946E-2</v>
      </c>
      <c r="I94">
        <v>0.13864265969608799</v>
      </c>
      <c r="J94">
        <v>0</v>
      </c>
      <c r="K94" s="13">
        <v>968.07579999999996</v>
      </c>
      <c r="L94">
        <f t="shared" si="32"/>
        <v>2025.1363452525234</v>
      </c>
      <c r="M94">
        <f t="shared" si="33"/>
        <v>587.49363631558867</v>
      </c>
      <c r="N94" s="2">
        <f t="shared" si="34"/>
        <v>0.75183635697622853</v>
      </c>
      <c r="O94">
        <f t="shared" si="35"/>
        <v>1.4098624686712951</v>
      </c>
      <c r="P94" s="4">
        <f t="shared" si="36"/>
        <v>9.059753850297704E-2</v>
      </c>
      <c r="Q94">
        <f t="shared" si="30"/>
        <v>0.81809434377381307</v>
      </c>
      <c r="R94">
        <f t="shared" si="29"/>
        <v>0.24522091864375553</v>
      </c>
      <c r="S94" s="3">
        <f t="shared" si="28"/>
        <v>0.24789444507242242</v>
      </c>
      <c r="T94" s="2">
        <f t="shared" si="37"/>
        <v>9.0683535457703759E-2</v>
      </c>
      <c r="U94" s="3">
        <f t="shared" si="38"/>
        <v>1.9574691514501343E-2</v>
      </c>
      <c r="V94">
        <v>2.0919191919191902</v>
      </c>
      <c r="W94" s="13">
        <f t="shared" si="39"/>
        <v>32.759494079147558</v>
      </c>
      <c r="X94" s="2">
        <f t="shared" si="40"/>
        <v>31.388277586400708</v>
      </c>
      <c r="Y94" s="3">
        <f t="shared" si="41"/>
        <v>37.679955651008214</v>
      </c>
      <c r="Z94" s="13">
        <f t="shared" si="42"/>
        <v>4.6326929540893911</v>
      </c>
      <c r="AA94" s="2">
        <f t="shared" si="43"/>
        <v>0.2158571720401361</v>
      </c>
      <c r="AB94" s="3">
        <f t="shared" si="44"/>
        <v>0.21259531544510643</v>
      </c>
      <c r="AC94">
        <f t="shared" si="45"/>
        <v>1.6176438764700866E-2</v>
      </c>
      <c r="AD94" s="2">
        <f t="shared" si="46"/>
        <v>66342442.111766562</v>
      </c>
      <c r="AE94">
        <f t="shared" si="47"/>
        <v>63565541.755095229</v>
      </c>
      <c r="AF94" s="3">
        <f t="shared" si="48"/>
        <v>76307047.676359937</v>
      </c>
      <c r="AG94">
        <f t="shared" si="49"/>
        <v>-2776900.3566713338</v>
      </c>
      <c r="AI94" s="2">
        <f t="shared" si="50"/>
        <v>-126.24984703176659</v>
      </c>
      <c r="AJ94" s="2">
        <f t="shared" si="51"/>
        <v>453.03387470834645</v>
      </c>
      <c r="AK94">
        <f t="shared" si="52"/>
        <v>9964605.5645933729</v>
      </c>
      <c r="AO94" s="2">
        <f t="shared" si="53"/>
        <v>458.91486340550904</v>
      </c>
      <c r="AP94" s="3">
        <f t="shared" si="54"/>
        <v>427.29869320452605</v>
      </c>
    </row>
    <row r="95" spans="1:42" ht="14.65" thickBot="1" x14ac:dyDescent="0.5">
      <c r="A95" s="2">
        <v>0.70099999999999996</v>
      </c>
      <c r="B95" s="4">
        <f t="shared" si="27"/>
        <v>55000</v>
      </c>
      <c r="C95">
        <v>2.1212121212121202</v>
      </c>
      <c r="D95" s="5">
        <f t="shared" si="31"/>
        <v>1</v>
      </c>
      <c r="F95" s="2">
        <v>389.97</v>
      </c>
      <c r="G95" s="3">
        <v>2.8650000000000003E-4</v>
      </c>
      <c r="H95">
        <v>1.8428910806529E-2</v>
      </c>
      <c r="I95">
        <v>0.14073796662749499</v>
      </c>
      <c r="J95">
        <v>0</v>
      </c>
      <c r="K95" s="13">
        <v>968.07579999999996</v>
      </c>
      <c r="L95">
        <f t="shared" si="32"/>
        <v>2053.4941212121203</v>
      </c>
      <c r="M95">
        <f t="shared" si="33"/>
        <v>604.06205866340474</v>
      </c>
      <c r="N95" s="2">
        <f t="shared" si="34"/>
        <v>0.75183635697622853</v>
      </c>
      <c r="O95">
        <f t="shared" si="35"/>
        <v>1.4284200391035959</v>
      </c>
      <c r="P95" s="4">
        <f t="shared" si="36"/>
        <v>9.059753850297704E-2</v>
      </c>
      <c r="Q95">
        <f t="shared" si="30"/>
        <v>0.85640764680152093</v>
      </c>
      <c r="R95">
        <f t="shared" si="29"/>
        <v>0.24720627290592212</v>
      </c>
      <c r="S95" s="3">
        <f t="shared" si="28"/>
        <v>0.24364552814298371</v>
      </c>
      <c r="T95" s="2">
        <f t="shared" si="37"/>
        <v>8.8196236191166635E-2</v>
      </c>
      <c r="U95" s="3">
        <f t="shared" si="38"/>
        <v>1.9523651787044533E-2</v>
      </c>
      <c r="V95">
        <v>2.1212121212121202</v>
      </c>
      <c r="W95" s="13">
        <f t="shared" si="39"/>
        <v>33.595546058319307</v>
      </c>
      <c r="X95" s="2">
        <f t="shared" si="40"/>
        <v>31.642402931958028</v>
      </c>
      <c r="Y95" s="3">
        <f t="shared" si="41"/>
        <v>37.034120277733521</v>
      </c>
      <c r="Z95" s="13">
        <f t="shared" si="42"/>
        <v>4.5174046921740185</v>
      </c>
      <c r="AA95" s="2">
        <f t="shared" si="43"/>
        <v>0.22136604270421167</v>
      </c>
      <c r="AB95" s="3">
        <f t="shared" si="44"/>
        <v>0.21785290938344656</v>
      </c>
      <c r="AC95">
        <f t="shared" si="45"/>
        <v>1.6360186138974088E-2</v>
      </c>
      <c r="AD95" s="2">
        <f t="shared" si="46"/>
        <v>68988256.329669714</v>
      </c>
      <c r="AE95">
        <f t="shared" si="47"/>
        <v>64977488.401800968</v>
      </c>
      <c r="AF95" s="3">
        <f t="shared" si="48"/>
        <v>76049348.274588361</v>
      </c>
      <c r="AG95">
        <f t="shared" si="49"/>
        <v>-4010767.9278687411</v>
      </c>
      <c r="AI95" s="2">
        <f t="shared" si="50"/>
        <v>-182.34677962313188</v>
      </c>
      <c r="AJ95" s="2">
        <f t="shared" si="51"/>
        <v>321.02764356723702</v>
      </c>
      <c r="AK95">
        <f t="shared" si="52"/>
        <v>7061091.9449186455</v>
      </c>
      <c r="AO95" s="2">
        <f t="shared" si="53"/>
        <v>477.2169251288297</v>
      </c>
      <c r="AP95" s="3">
        <f t="shared" si="54"/>
        <v>443.82944953254599</v>
      </c>
    </row>
    <row r="96" spans="1:42" ht="14.65" thickBot="1" x14ac:dyDescent="0.5">
      <c r="A96" s="2">
        <v>0.70099999999999996</v>
      </c>
      <c r="B96" s="4">
        <f t="shared" ref="B96:B125" si="55">B95</f>
        <v>55000</v>
      </c>
      <c r="C96">
        <v>2.1505050505050498</v>
      </c>
      <c r="D96" s="5">
        <f t="shared" si="31"/>
        <v>1</v>
      </c>
      <c r="F96" s="2">
        <v>389.97</v>
      </c>
      <c r="G96" s="3">
        <v>2.8650000000000003E-4</v>
      </c>
      <c r="H96">
        <v>1.8423359722330002E-2</v>
      </c>
      <c r="I96">
        <v>0.142827364992683</v>
      </c>
      <c r="J96">
        <v>0</v>
      </c>
      <c r="K96" s="13">
        <v>968.07579999999996</v>
      </c>
      <c r="L96">
        <f t="shared" si="32"/>
        <v>2081.8518971717162</v>
      </c>
      <c r="M96">
        <f t="shared" si="33"/>
        <v>620.86087384175823</v>
      </c>
      <c r="N96" s="2">
        <f t="shared" si="34"/>
        <v>0.75183635697622853</v>
      </c>
      <c r="O96">
        <f t="shared" si="35"/>
        <v>1.4472356625411886</v>
      </c>
      <c r="P96" s="4">
        <f t="shared" si="36"/>
        <v>9.059753850297704E-2</v>
      </c>
      <c r="Q96">
        <f t="shared" si="30"/>
        <v>0.89654514262862539</v>
      </c>
      <c r="R96">
        <f t="shared" si="29"/>
        <v>0.24887340265526814</v>
      </c>
      <c r="S96" s="3">
        <f t="shared" si="28"/>
        <v>0.23866183069173655</v>
      </c>
      <c r="T96" s="2">
        <f t="shared" si="37"/>
        <v>8.5809884701445543E-2</v>
      </c>
      <c r="U96" s="3">
        <f t="shared" si="38"/>
        <v>1.9475045645395799E-2</v>
      </c>
      <c r="V96">
        <v>2.1505050505050498</v>
      </c>
      <c r="W96" s="13">
        <f t="shared" si="39"/>
        <v>34.443864247191776</v>
      </c>
      <c r="X96" s="2">
        <f t="shared" si="40"/>
        <v>31.855795539874322</v>
      </c>
      <c r="Y96" s="3">
        <f t="shared" si="41"/>
        <v>36.276598265143953</v>
      </c>
      <c r="Z96" s="13">
        <f t="shared" si="42"/>
        <v>4.4061454983923145</v>
      </c>
      <c r="AA96" s="2">
        <f t="shared" si="43"/>
        <v>0.22695573724582482</v>
      </c>
      <c r="AB96" s="3">
        <f t="shared" si="44"/>
        <v>0.22317515972745985</v>
      </c>
      <c r="AC96">
        <f t="shared" si="45"/>
        <v>1.6544819683852258E-2</v>
      </c>
      <c r="AD96" s="2">
        <f t="shared" si="46"/>
        <v>71707024.128941253</v>
      </c>
      <c r="AE96">
        <f t="shared" si="47"/>
        <v>66319048.380601659</v>
      </c>
      <c r="AF96" s="3">
        <f t="shared" si="48"/>
        <v>75522504.921226129</v>
      </c>
      <c r="AG96">
        <f t="shared" si="49"/>
        <v>-5387975.7483395971</v>
      </c>
      <c r="AI96" s="2">
        <f t="shared" si="50"/>
        <v>-244.96057714297473</v>
      </c>
      <c r="AJ96" s="2">
        <f t="shared" si="51"/>
        <v>173.46818556933312</v>
      </c>
      <c r="AK96">
        <f t="shared" si="52"/>
        <v>3815480.792284884</v>
      </c>
      <c r="AO96" s="2">
        <f t="shared" si="53"/>
        <v>496.0236333765007</v>
      </c>
      <c r="AP96" s="3">
        <f t="shared" si="54"/>
        <v>460.77034316410192</v>
      </c>
    </row>
    <row r="97" spans="1:42" ht="14.65" thickBot="1" x14ac:dyDescent="0.5">
      <c r="A97" s="2">
        <v>0.70099999999999996</v>
      </c>
      <c r="B97" s="4">
        <f t="shared" si="55"/>
        <v>55000</v>
      </c>
      <c r="C97">
        <v>2.1797979797979798</v>
      </c>
      <c r="D97" s="5">
        <f t="shared" si="31"/>
        <v>1</v>
      </c>
      <c r="F97" s="2">
        <v>389.97</v>
      </c>
      <c r="G97" s="3">
        <v>2.8650000000000003E-4</v>
      </c>
      <c r="H97">
        <v>1.8417904600512E-2</v>
      </c>
      <c r="I97">
        <v>0.144911113811175</v>
      </c>
      <c r="J97">
        <v>0</v>
      </c>
      <c r="K97" s="13">
        <v>968.07579999999996</v>
      </c>
      <c r="L97">
        <f t="shared" si="32"/>
        <v>2110.2096731313131</v>
      </c>
      <c r="M97">
        <f t="shared" si="33"/>
        <v>637.89008185065006</v>
      </c>
      <c r="N97" s="2">
        <f t="shared" si="34"/>
        <v>0.75183635697622853</v>
      </c>
      <c r="O97">
        <f t="shared" si="35"/>
        <v>1.4663093389840736</v>
      </c>
      <c r="P97" s="4">
        <f t="shared" si="36"/>
        <v>9.059753850297704E-2</v>
      </c>
      <c r="Q97">
        <f t="shared" si="30"/>
        <v>0.93858664156837401</v>
      </c>
      <c r="R97">
        <f t="shared" si="29"/>
        <v>0.2501865483647186</v>
      </c>
      <c r="S97" s="3">
        <f t="shared" si="28"/>
        <v>0.23289042215282688</v>
      </c>
      <c r="T97" s="2">
        <f t="shared" si="37"/>
        <v>8.3519091322811267E-2</v>
      </c>
      <c r="U97" s="3">
        <f t="shared" si="38"/>
        <v>1.942872317958937E-2</v>
      </c>
      <c r="V97">
        <v>2.1797979797979798</v>
      </c>
      <c r="W97" s="13">
        <f t="shared" si="39"/>
        <v>35.304429908697351</v>
      </c>
      <c r="X97" s="2">
        <f t="shared" si="40"/>
        <v>32.02387819068398</v>
      </c>
      <c r="Y97" s="3">
        <f t="shared" si="41"/>
        <v>35.399344167229685</v>
      </c>
      <c r="Z97" s="13">
        <f t="shared" si="42"/>
        <v>4.2987431830081002</v>
      </c>
      <c r="AA97" s="2">
        <f t="shared" si="43"/>
        <v>0.2326261322036543</v>
      </c>
      <c r="AB97" s="3">
        <f t="shared" si="44"/>
        <v>0.22856114240038714</v>
      </c>
      <c r="AC97">
        <f t="shared" si="45"/>
        <v>1.6730294794028482E-2</v>
      </c>
      <c r="AD97" s="2">
        <f t="shared" si="46"/>
        <v>74499749.497719586</v>
      </c>
      <c r="AE97">
        <f t="shared" si="47"/>
        <v>67577097.529160231</v>
      </c>
      <c r="AF97" s="3">
        <f t="shared" si="48"/>
        <v>74700038.48419261</v>
      </c>
      <c r="AG97">
        <f t="shared" si="49"/>
        <v>-6922651.9685593583</v>
      </c>
      <c r="AI97" s="2">
        <f t="shared" si="50"/>
        <v>-314.73356614510283</v>
      </c>
      <c r="AJ97" s="2">
        <f t="shared" si="51"/>
        <v>9.1059997322616173</v>
      </c>
      <c r="AK97">
        <f t="shared" si="52"/>
        <v>200288.98647302008</v>
      </c>
      <c r="AO97" s="2">
        <f t="shared" si="53"/>
        <v>515.34193310057276</v>
      </c>
      <c r="AP97" s="3">
        <f t="shared" si="54"/>
        <v>478.12354371641328</v>
      </c>
    </row>
    <row r="98" spans="1:42" ht="14.65" thickBot="1" x14ac:dyDescent="0.5">
      <c r="A98" s="2">
        <v>0.70099999999999996</v>
      </c>
      <c r="B98" s="4">
        <f t="shared" si="55"/>
        <v>55000</v>
      </c>
      <c r="C98">
        <v>2.2090909090909001</v>
      </c>
      <c r="D98" s="5">
        <f t="shared" si="31"/>
        <v>1</v>
      </c>
      <c r="F98" s="2">
        <v>389.97</v>
      </c>
      <c r="G98" s="3">
        <v>2.8650000000000003E-4</v>
      </c>
      <c r="H98">
        <v>1.8412540629975001E-2</v>
      </c>
      <c r="I98">
        <v>0.14698945762203799</v>
      </c>
      <c r="J98">
        <v>0</v>
      </c>
      <c r="K98" s="13">
        <v>968.07579999999996</v>
      </c>
      <c r="L98">
        <f t="shared" si="32"/>
        <v>2138.5674490909005</v>
      </c>
      <c r="M98">
        <f t="shared" si="33"/>
        <v>655.14968269007397</v>
      </c>
      <c r="N98" s="2">
        <f t="shared" si="34"/>
        <v>0.75183635697622853</v>
      </c>
      <c r="O98">
        <f t="shared" si="35"/>
        <v>1.4856410684322443</v>
      </c>
      <c r="P98" s="4">
        <f t="shared" si="36"/>
        <v>9.059753850297704E-2</v>
      </c>
      <c r="Q98">
        <f t="shared" si="30"/>
        <v>0.98261503248451409</v>
      </c>
      <c r="R98">
        <f t="shared" si="29"/>
        <v>0.2511075180930018</v>
      </c>
      <c r="S98" s="3">
        <f t="shared" si="28"/>
        <v>0.22627567712797017</v>
      </c>
      <c r="T98" s="2">
        <f t="shared" si="37"/>
        <v>8.1318821343614706E-2</v>
      </c>
      <c r="U98" s="3">
        <f t="shared" si="38"/>
        <v>1.9384545269450767E-2</v>
      </c>
      <c r="V98">
        <v>2.2090909090909001</v>
      </c>
      <c r="W98" s="13">
        <f t="shared" si="39"/>
        <v>36.177224543539126</v>
      </c>
      <c r="X98" s="2">
        <f t="shared" si="40"/>
        <v>32.141762315904231</v>
      </c>
      <c r="Y98" s="3">
        <f t="shared" si="41"/>
        <v>34.393902923451471</v>
      </c>
      <c r="Z98" s="13">
        <f t="shared" si="42"/>
        <v>4.1950337350327107</v>
      </c>
      <c r="AA98" s="2">
        <f t="shared" si="43"/>
        <v>0.23837710568308518</v>
      </c>
      <c r="AB98" s="3">
        <f t="shared" si="44"/>
        <v>0.23400990985850606</v>
      </c>
      <c r="AC98">
        <f t="shared" si="45"/>
        <v>1.6916569341274678E-2</v>
      </c>
      <c r="AD98" s="2">
        <f t="shared" si="46"/>
        <v>77367434.807265177</v>
      </c>
      <c r="AE98">
        <f t="shared" si="47"/>
        <v>68737326.645209342</v>
      </c>
      <c r="AF98" s="3">
        <f t="shared" si="48"/>
        <v>73553681.239285678</v>
      </c>
      <c r="AG98">
        <f t="shared" si="49"/>
        <v>-8630108.1620558351</v>
      </c>
      <c r="AI98" s="2">
        <f t="shared" si="50"/>
        <v>-392.36187669088395</v>
      </c>
      <c r="AJ98" s="2">
        <f t="shared" si="51"/>
        <v>-173.38965851530358</v>
      </c>
      <c r="AK98">
        <f t="shared" si="52"/>
        <v>-3813753.5679795104</v>
      </c>
      <c r="AO98" s="2">
        <f t="shared" si="53"/>
        <v>535.17875806856239</v>
      </c>
      <c r="AP98" s="3">
        <f t="shared" si="54"/>
        <v>495.89100872323905</v>
      </c>
    </row>
    <row r="99" spans="1:42" ht="14.65" thickBot="1" x14ac:dyDescent="0.5">
      <c r="A99" s="2">
        <v>0.70099999999999996</v>
      </c>
      <c r="B99" s="4">
        <f t="shared" si="55"/>
        <v>55000</v>
      </c>
      <c r="C99">
        <v>2.2383838383838301</v>
      </c>
      <c r="D99" s="5">
        <f t="shared" si="31"/>
        <v>1</v>
      </c>
      <c r="F99" s="2">
        <v>389.97</v>
      </c>
      <c r="G99" s="3">
        <v>2.8650000000000003E-4</v>
      </c>
      <c r="H99">
        <v>1.8407263388676001E-2</v>
      </c>
      <c r="I99">
        <v>0.149062627389971</v>
      </c>
      <c r="J99">
        <v>0</v>
      </c>
      <c r="K99" s="13">
        <v>968.07579999999996</v>
      </c>
      <c r="L99">
        <f t="shared" si="32"/>
        <v>2166.9252250504969</v>
      </c>
      <c r="M99">
        <f t="shared" si="33"/>
        <v>672.63967636004111</v>
      </c>
      <c r="N99" s="2">
        <f t="shared" si="34"/>
        <v>0.75183635697622853</v>
      </c>
      <c r="O99">
        <f t="shared" si="35"/>
        <v>1.5052308508857131</v>
      </c>
      <c r="P99" s="4">
        <f t="shared" si="36"/>
        <v>9.059753850297704E-2</v>
      </c>
      <c r="Q99">
        <f t="shared" si="30"/>
        <v>1.0287163797790113</v>
      </c>
      <c r="R99">
        <f t="shared" si="29"/>
        <v>0.25159556114456127</v>
      </c>
      <c r="S99" s="3">
        <f t="shared" si="28"/>
        <v>0.21875917197122413</v>
      </c>
      <c r="T99" s="2">
        <f t="shared" si="37"/>
        <v>7.9204367319365754E-2</v>
      </c>
      <c r="U99" s="3">
        <f t="shared" si="38"/>
        <v>1.9342382709639904E-2</v>
      </c>
      <c r="V99">
        <v>2.2383838383838301</v>
      </c>
      <c r="W99" s="13">
        <f t="shared" si="39"/>
        <v>37.062229917694197</v>
      </c>
      <c r="X99" s="2">
        <f t="shared" si="40"/>
        <v>32.204231826503843</v>
      </c>
      <c r="Y99" s="3">
        <f t="shared" si="41"/>
        <v>33.251394139626072</v>
      </c>
      <c r="Z99" s="13">
        <f t="shared" si="42"/>
        <v>4.0948609335442256</v>
      </c>
      <c r="AA99" s="2">
        <f t="shared" si="43"/>
        <v>0.24420853753743227</v>
      </c>
      <c r="AB99" s="3">
        <f t="shared" si="44"/>
        <v>0.23952049122146152</v>
      </c>
      <c r="AC99">
        <f t="shared" si="45"/>
        <v>1.7103603525050349E-2</v>
      </c>
      <c r="AD99" s="2">
        <f t="shared" si="46"/>
        <v>80311080.905272752</v>
      </c>
      <c r="AE99">
        <f t="shared" si="47"/>
        <v>69784162.298225209</v>
      </c>
      <c r="AF99" s="3">
        <f t="shared" si="48"/>
        <v>72053284.729251996</v>
      </c>
      <c r="AG99">
        <f t="shared" si="49"/>
        <v>-10526918.607047535</v>
      </c>
      <c r="AI99" s="2">
        <f t="shared" si="50"/>
        <v>-478.59904683389692</v>
      </c>
      <c r="AJ99" s="2">
        <f t="shared" si="51"/>
        <v>-375.434970699426</v>
      </c>
      <c r="AK99">
        <f t="shared" si="52"/>
        <v>-8257796.1760207582</v>
      </c>
      <c r="AO99" s="2">
        <f t="shared" si="53"/>
        <v>555.54103150892638</v>
      </c>
      <c r="AP99" s="3">
        <f t="shared" si="54"/>
        <v>514.07447997460474</v>
      </c>
    </row>
    <row r="100" spans="1:42" ht="14.65" thickBot="1" x14ac:dyDescent="0.5">
      <c r="A100" s="2">
        <v>0.70099999999999996</v>
      </c>
      <c r="B100" s="4">
        <f t="shared" si="55"/>
        <v>55000</v>
      </c>
      <c r="C100">
        <v>2.2676767676767602</v>
      </c>
      <c r="D100" s="5">
        <f t="shared" si="31"/>
        <v>1</v>
      </c>
      <c r="F100" s="2">
        <v>389.97</v>
      </c>
      <c r="G100" s="3">
        <v>2.8650000000000003E-4</v>
      </c>
      <c r="H100">
        <v>1.8402068800961E-2</v>
      </c>
      <c r="I100">
        <v>0.15113084136164801</v>
      </c>
      <c r="J100">
        <v>0</v>
      </c>
      <c r="K100" s="13">
        <v>968.07579999999996</v>
      </c>
      <c r="L100">
        <f t="shared" si="32"/>
        <v>2195.2830010100938</v>
      </c>
      <c r="M100">
        <f t="shared" si="33"/>
        <v>690.36006286054646</v>
      </c>
      <c r="N100" s="2">
        <f t="shared" si="34"/>
        <v>0.75183635697622853</v>
      </c>
      <c r="O100">
        <f t="shared" si="35"/>
        <v>1.5250786863444745</v>
      </c>
      <c r="P100" s="4">
        <f t="shared" si="36"/>
        <v>9.059753850297704E-2</v>
      </c>
      <c r="Q100">
        <f t="shared" si="30"/>
        <v>1.0769800226432968</v>
      </c>
      <c r="R100">
        <f t="shared" si="29"/>
        <v>0.25160723677664842</v>
      </c>
      <c r="S100" s="3">
        <f t="shared" si="28"/>
        <v>0.21027957862569416</v>
      </c>
      <c r="T100" s="2">
        <f t="shared" si="37"/>
        <v>7.7171323873005987E-2</v>
      </c>
      <c r="U100" s="3">
        <f t="shared" si="38"/>
        <v>1.9302115412812137E-2</v>
      </c>
      <c r="V100">
        <v>2.2676767676767602</v>
      </c>
      <c r="W100" s="13">
        <f t="shared" si="39"/>
        <v>37.959428084758819</v>
      </c>
      <c r="X100" s="2">
        <f t="shared" si="40"/>
        <v>32.205726307410998</v>
      </c>
      <c r="Y100" s="3">
        <f t="shared" si="41"/>
        <v>31.962495951105513</v>
      </c>
      <c r="Z100" s="13">
        <f t="shared" si="42"/>
        <v>3.9980759736718854</v>
      </c>
      <c r="AA100" s="2">
        <f t="shared" si="43"/>
        <v>0.25012030951517583</v>
      </c>
      <c r="AB100" s="3">
        <f t="shared" si="44"/>
        <v>0.24509189240594345</v>
      </c>
      <c r="AC100">
        <f t="shared" si="45"/>
        <v>1.7291359732341079E-2</v>
      </c>
      <c r="AD100" s="2">
        <f t="shared" si="46"/>
        <v>83331687.202536181</v>
      </c>
      <c r="AE100">
        <f t="shared" si="47"/>
        <v>70700683.497842938</v>
      </c>
      <c r="AF100" s="3">
        <f t="shared" si="48"/>
        <v>70166724.031315878</v>
      </c>
      <c r="AG100">
        <f t="shared" si="49"/>
        <v>-12631003.70469323</v>
      </c>
      <c r="AI100" s="2">
        <f t="shared" si="50"/>
        <v>-574.25981517274056</v>
      </c>
      <c r="AJ100" s="2">
        <f t="shared" si="51"/>
        <v>-598.53591165140995</v>
      </c>
      <c r="AK100">
        <f t="shared" si="52"/>
        <v>-13164963.171220288</v>
      </c>
      <c r="AO100" s="2">
        <f t="shared" si="53"/>
        <v>576.43566671055407</v>
      </c>
      <c r="AP100" s="3">
        <f t="shared" si="54"/>
        <v>532.67547999150656</v>
      </c>
    </row>
    <row r="101" spans="1:42" ht="14.65" thickBot="1" x14ac:dyDescent="0.5">
      <c r="A101" s="2">
        <v>0.70099999999999996</v>
      </c>
      <c r="B101" s="4">
        <f t="shared" si="55"/>
        <v>55000</v>
      </c>
      <c r="C101">
        <v>2.2969696969696898</v>
      </c>
      <c r="D101" s="5">
        <f t="shared" si="31"/>
        <v>1</v>
      </c>
      <c r="F101" s="2">
        <v>389.97</v>
      </c>
      <c r="G101" s="3">
        <v>2.8650000000000003E-4</v>
      </c>
      <c r="H101">
        <v>1.8396953100724998E-2</v>
      </c>
      <c r="I101">
        <v>0.15319430587161001</v>
      </c>
      <c r="J101">
        <v>0</v>
      </c>
      <c r="K101" s="13">
        <v>968.07579999999996</v>
      </c>
      <c r="L101">
        <f t="shared" si="32"/>
        <v>2223.6407769696898</v>
      </c>
      <c r="M101">
        <f t="shared" si="33"/>
        <v>708.3108421915889</v>
      </c>
      <c r="N101" s="2">
        <f t="shared" si="34"/>
        <v>0.75183635697622853</v>
      </c>
      <c r="O101">
        <f t="shared" si="35"/>
        <v>1.5451845748085278</v>
      </c>
      <c r="P101" s="4">
        <f t="shared" si="36"/>
        <v>9.059753850297704E-2</v>
      </c>
      <c r="Q101">
        <f t="shared" si="30"/>
        <v>1.1274986766028439</v>
      </c>
      <c r="R101">
        <f t="shared" si="29"/>
        <v>0.25109627781600302</v>
      </c>
      <c r="S101" s="3">
        <f t="shared" si="28"/>
        <v>0.20077255567060198</v>
      </c>
      <c r="T101" s="2">
        <f t="shared" si="37"/>
        <v>7.5215564730250928E-2</v>
      </c>
      <c r="U101" s="3">
        <f t="shared" si="38"/>
        <v>1.9263631683292416E-2</v>
      </c>
      <c r="V101">
        <v>2.2969696969696898</v>
      </c>
      <c r="W101" s="13">
        <f t="shared" si="39"/>
        <v>38.868801403700367</v>
      </c>
      <c r="X101" s="2">
        <f t="shared" si="40"/>
        <v>32.140323560448387</v>
      </c>
      <c r="Y101" s="3">
        <f t="shared" si="41"/>
        <v>30.517428461931502</v>
      </c>
      <c r="Z101" s="13">
        <f t="shared" si="42"/>
        <v>3.9045371073766071</v>
      </c>
      <c r="AA101" s="2">
        <f t="shared" si="43"/>
        <v>0.25611230537693191</v>
      </c>
      <c r="AB101" s="3">
        <f t="shared" si="44"/>
        <v>0.25072309626762923</v>
      </c>
      <c r="AC101">
        <f t="shared" si="45"/>
        <v>1.7479802406155542E-2</v>
      </c>
      <c r="AD101" s="2">
        <f t="shared" si="46"/>
        <v>86430251.753204852</v>
      </c>
      <c r="AE101">
        <f t="shared" si="47"/>
        <v>71468534.054012671</v>
      </c>
      <c r="AF101" s="3">
        <f t="shared" si="48"/>
        <v>67859798.336206302</v>
      </c>
      <c r="AG101">
        <f t="shared" si="49"/>
        <v>-14961717.699192179</v>
      </c>
      <c r="AI101" s="2">
        <f t="shared" si="50"/>
        <v>-680.22410898449607</v>
      </c>
      <c r="AJ101" s="2">
        <f t="shared" si="51"/>
        <v>-844.29277326212195</v>
      </c>
      <c r="AK101">
        <f t="shared" si="52"/>
        <v>-18570453.416998565</v>
      </c>
      <c r="AO101" s="2">
        <f t="shared" si="53"/>
        <v>597.86956757793052</v>
      </c>
      <c r="AP101" s="3">
        <f t="shared" si="54"/>
        <v>551.69530865358274</v>
      </c>
    </row>
    <row r="102" spans="1:42" ht="14.65" thickBot="1" x14ac:dyDescent="0.5">
      <c r="A102" s="2">
        <v>0.70099999999999996</v>
      </c>
      <c r="B102" s="4">
        <f t="shared" si="55"/>
        <v>55000</v>
      </c>
      <c r="C102">
        <v>2.3262626262626198</v>
      </c>
      <c r="D102" s="5">
        <f t="shared" si="31"/>
        <v>1</v>
      </c>
      <c r="F102" s="2">
        <v>389.97</v>
      </c>
      <c r="G102" s="3">
        <v>2.8650000000000003E-4</v>
      </c>
      <c r="H102">
        <v>1.8391912799465001E-2</v>
      </c>
      <c r="I102">
        <v>0.15525321609827999</v>
      </c>
      <c r="J102">
        <v>0</v>
      </c>
      <c r="K102" s="13">
        <v>968.07579999999996</v>
      </c>
      <c r="L102">
        <f t="shared" si="32"/>
        <v>2251.9985529292867</v>
      </c>
      <c r="M102">
        <f t="shared" si="33"/>
        <v>726.49201435317002</v>
      </c>
      <c r="N102" s="2">
        <f t="shared" si="34"/>
        <v>0.75183635697622853</v>
      </c>
      <c r="O102">
        <f t="shared" si="35"/>
        <v>1.5655485162778737</v>
      </c>
      <c r="P102" s="4">
        <f t="shared" si="36"/>
        <v>9.059753850297704E-2</v>
      </c>
      <c r="Q102">
        <f t="shared" si="30"/>
        <v>1.1803685373844119</v>
      </c>
      <c r="R102">
        <f t="shared" si="29"/>
        <v>0.25001344904544837</v>
      </c>
      <c r="S102" s="3">
        <f t="shared" si="28"/>
        <v>0.19017063653712299</v>
      </c>
      <c r="T102" s="2">
        <f t="shared" si="37"/>
        <v>7.3333221766290327E-2</v>
      </c>
      <c r="U102" s="3">
        <f t="shared" si="38"/>
        <v>1.9226827554494601E-2</v>
      </c>
      <c r="V102">
        <v>2.3262626262626198</v>
      </c>
      <c r="W102" s="13">
        <f t="shared" si="39"/>
        <v>39.790332552586996</v>
      </c>
      <c r="X102" s="2">
        <f t="shared" si="40"/>
        <v>32.001721477817391</v>
      </c>
      <c r="Y102" s="3">
        <f t="shared" si="41"/>
        <v>28.905936753642695</v>
      </c>
      <c r="Z102" s="13">
        <f t="shared" si="42"/>
        <v>3.8141092990220025</v>
      </c>
      <c r="AA102" s="2">
        <f t="shared" si="43"/>
        <v>0.26218441098591899</v>
      </c>
      <c r="AB102" s="3">
        <f t="shared" si="44"/>
        <v>0.25641306275625414</v>
      </c>
      <c r="AC102">
        <f t="shared" si="45"/>
        <v>1.7668897922172164E-2</v>
      </c>
      <c r="AD102" s="2">
        <f t="shared" si="46"/>
        <v>89607771.329000995</v>
      </c>
      <c r="AE102">
        <f t="shared" si="47"/>
        <v>72067830.459290832</v>
      </c>
      <c r="AF102" s="3">
        <f t="shared" si="48"/>
        <v>65096127.740268834</v>
      </c>
      <c r="AG102">
        <f t="shared" si="49"/>
        <v>-17539940.869710166</v>
      </c>
      <c r="AI102" s="2">
        <f t="shared" si="50"/>
        <v>-797.44123566664643</v>
      </c>
      <c r="AJ102" s="2">
        <f t="shared" si="51"/>
        <v>-1114.4048601312079</v>
      </c>
      <c r="AK102">
        <f t="shared" si="52"/>
        <v>-24511643.588732172</v>
      </c>
      <c r="AO102" s="2">
        <f t="shared" si="53"/>
        <v>619.84962914452444</v>
      </c>
      <c r="AP102" s="3">
        <f t="shared" si="54"/>
        <v>571.13503999847887</v>
      </c>
    </row>
    <row r="103" spans="1:42" ht="14.65" thickBot="1" x14ac:dyDescent="0.5">
      <c r="A103" s="2">
        <v>0.70099999999999996</v>
      </c>
      <c r="B103" s="4">
        <f t="shared" si="55"/>
        <v>55000</v>
      </c>
      <c r="C103">
        <v>2.3555555555555499</v>
      </c>
      <c r="D103" s="5">
        <f t="shared" si="31"/>
        <v>1</v>
      </c>
      <c r="F103" s="2">
        <v>389.97</v>
      </c>
      <c r="G103" s="3">
        <v>2.8650000000000003E-4</v>
      </c>
      <c r="H103">
        <v>1.8386944658451001E-2</v>
      </c>
      <c r="I103">
        <v>0.15730775677147499</v>
      </c>
      <c r="J103">
        <v>0</v>
      </c>
      <c r="K103" s="13">
        <v>968.07579999999996</v>
      </c>
      <c r="L103">
        <f t="shared" si="32"/>
        <v>2280.3563288888831</v>
      </c>
      <c r="M103">
        <f t="shared" si="33"/>
        <v>744.90357934528845</v>
      </c>
      <c r="N103" s="2">
        <f t="shared" si="34"/>
        <v>0.75183635697622853</v>
      </c>
      <c r="O103">
        <f t="shared" si="35"/>
        <v>1.5861705107525108</v>
      </c>
      <c r="P103" s="4">
        <f t="shared" si="36"/>
        <v>9.059753850297704E-2</v>
      </c>
      <c r="Q103">
        <f t="shared" si="30"/>
        <v>1.2356893871356105</v>
      </c>
      <c r="R103">
        <f t="shared" si="29"/>
        <v>0.24830640021866751</v>
      </c>
      <c r="S103" s="3">
        <f t="shared" si="28"/>
        <v>0.17840311485130106</v>
      </c>
      <c r="T103" s="2">
        <f t="shared" si="37"/>
        <v>7.1520665865004163E-2</v>
      </c>
      <c r="U103" s="3">
        <f t="shared" si="38"/>
        <v>1.9191606184012427E-2</v>
      </c>
      <c r="V103">
        <v>2.3555555555555499</v>
      </c>
      <c r="W103" s="13">
        <f t="shared" si="39"/>
        <v>40.724004538800877</v>
      </c>
      <c r="X103" s="2">
        <f t="shared" si="40"/>
        <v>31.783219227989441</v>
      </c>
      <c r="Y103" s="3">
        <f t="shared" si="41"/>
        <v>27.117273457397761</v>
      </c>
      <c r="Z103" s="13">
        <f t="shared" si="42"/>
        <v>3.726663895624561</v>
      </c>
      <c r="AA103" s="2">
        <f t="shared" si="43"/>
        <v>0.26833651437525396</v>
      </c>
      <c r="AB103" s="3">
        <f t="shared" si="44"/>
        <v>0.26216072908816485</v>
      </c>
      <c r="AC103">
        <f t="shared" si="45"/>
        <v>1.7858614473047676E-2</v>
      </c>
      <c r="AD103" s="2">
        <f t="shared" si="46"/>
        <v>92865241.487754181</v>
      </c>
      <c r="AE103">
        <f t="shared" si="47"/>
        <v>72477065.119008556</v>
      </c>
      <c r="AF103" s="3">
        <f t="shared" si="48"/>
        <v>61837046.15078751</v>
      </c>
      <c r="AG103">
        <f t="shared" si="49"/>
        <v>-20388176.368745625</v>
      </c>
      <c r="AI103" s="2">
        <f t="shared" si="50"/>
        <v>-926.93428542616789</v>
      </c>
      <c r="AJ103" s="2">
        <f t="shared" si="51"/>
        <v>-1410.6753616681744</v>
      </c>
      <c r="AK103">
        <f t="shared" si="52"/>
        <v>-31028195.336966679</v>
      </c>
      <c r="AO103" s="2">
        <f t="shared" si="53"/>
        <v>642.38273804686617</v>
      </c>
      <c r="AP103" s="3">
        <f t="shared" si="54"/>
        <v>590.99551921142597</v>
      </c>
    </row>
    <row r="104" spans="1:42" ht="14.65" thickBot="1" x14ac:dyDescent="0.5">
      <c r="A104" s="2">
        <v>0.70099999999999996</v>
      </c>
      <c r="B104" s="4">
        <f t="shared" si="55"/>
        <v>55000</v>
      </c>
      <c r="C104">
        <v>2.3848484848484799</v>
      </c>
      <c r="D104" s="5">
        <f t="shared" si="31"/>
        <v>1</v>
      </c>
      <c r="F104" s="2">
        <v>389.97</v>
      </c>
      <c r="G104" s="3">
        <v>2.8650000000000003E-4</v>
      </c>
      <c r="H104">
        <v>1.8382045664385002E-2</v>
      </c>
      <c r="I104">
        <v>0.15935810283336899</v>
      </c>
      <c r="J104">
        <v>0</v>
      </c>
      <c r="K104" s="13">
        <v>968.07579999999996</v>
      </c>
      <c r="L104">
        <f t="shared" si="32"/>
        <v>2308.71410484848</v>
      </c>
      <c r="M104">
        <f t="shared" si="33"/>
        <v>763.54553716794521</v>
      </c>
      <c r="N104" s="2">
        <f t="shared" si="34"/>
        <v>0.75183635697622853</v>
      </c>
      <c r="O104">
        <f t="shared" si="35"/>
        <v>1.6070505582324408</v>
      </c>
      <c r="P104" s="4">
        <f t="shared" si="36"/>
        <v>9.059753850297704E-2</v>
      </c>
      <c r="Q104">
        <f t="shared" si="30"/>
        <v>1.2935647030264172</v>
      </c>
      <c r="R104">
        <f t="shared" si="29"/>
        <v>0.24591951355935163</v>
      </c>
      <c r="S104" s="3">
        <f t="shared" si="28"/>
        <v>0.16539592686225582</v>
      </c>
      <c r="T104" s="2">
        <f t="shared" si="37"/>
        <v>6.9774489413696489E-2</v>
      </c>
      <c r="U104" s="3">
        <f t="shared" si="38"/>
        <v>1.9157877300940436E-2</v>
      </c>
      <c r="V104">
        <v>2.3848484848484799</v>
      </c>
      <c r="W104" s="13">
        <f t="shared" si="39"/>
        <v>41.669800706205919</v>
      </c>
      <c r="X104" s="2">
        <f t="shared" si="40"/>
        <v>31.477697735597008</v>
      </c>
      <c r="Y104" s="3">
        <f t="shared" si="41"/>
        <v>25.140180883062882</v>
      </c>
      <c r="Z104" s="13">
        <f t="shared" si="42"/>
        <v>3.642078311581594</v>
      </c>
      <c r="AA104" s="2">
        <f t="shared" si="43"/>
        <v>0.27456850579518266</v>
      </c>
      <c r="AB104" s="3">
        <f t="shared" si="44"/>
        <v>0.26796500994038808</v>
      </c>
      <c r="AC104">
        <f t="shared" si="45"/>
        <v>1.8048921959932622E-2</v>
      </c>
      <c r="AD104" s="2">
        <f t="shared" si="46"/>
        <v>96203656.636642754</v>
      </c>
      <c r="AE104">
        <f t="shared" si="47"/>
        <v>72673004.750329867</v>
      </c>
      <c r="AF104" s="3">
        <f t="shared" si="48"/>
        <v>58041490.203169391</v>
      </c>
      <c r="AG104">
        <f t="shared" si="49"/>
        <v>-23530651.886312883</v>
      </c>
      <c r="AI104" s="2">
        <f t="shared" si="50"/>
        <v>-1069.804753371048</v>
      </c>
      <c r="AJ104" s="2">
        <f t="shared" si="51"/>
        <v>-1735.0164052707028</v>
      </c>
      <c r="AK104">
        <f t="shared" si="52"/>
        <v>-38162166.433473364</v>
      </c>
      <c r="AO104" s="2">
        <f t="shared" si="53"/>
        <v>665.47577296201223</v>
      </c>
      <c r="AP104" s="3">
        <f t="shared" si="54"/>
        <v>611.27735982353613</v>
      </c>
    </row>
    <row r="105" spans="1:42" ht="14.65" thickBot="1" x14ac:dyDescent="0.5">
      <c r="A105" s="2">
        <v>0.70099999999999996</v>
      </c>
      <c r="B105" s="4">
        <f t="shared" si="55"/>
        <v>55000</v>
      </c>
      <c r="C105">
        <v>2.4141414141414099</v>
      </c>
      <c r="D105" s="5">
        <f t="shared" si="31"/>
        <v>1</v>
      </c>
      <c r="F105" s="2">
        <v>389.97</v>
      </c>
      <c r="G105" s="3">
        <v>2.8650000000000003E-4</v>
      </c>
      <c r="H105">
        <v>1.8377213008022999E-2</v>
      </c>
      <c r="I105">
        <v>0.16140442005515401</v>
      </c>
      <c r="J105">
        <v>0</v>
      </c>
      <c r="K105" s="13">
        <v>968.07579999999996</v>
      </c>
      <c r="L105">
        <f t="shared" si="32"/>
        <v>2337.0718808080765</v>
      </c>
      <c r="M105">
        <f t="shared" si="33"/>
        <v>782.4178878211394</v>
      </c>
      <c r="N105" s="2">
        <f t="shared" si="34"/>
        <v>0.75183635697622853</v>
      </c>
      <c r="O105">
        <f t="shared" si="35"/>
        <v>1.6281886587176626</v>
      </c>
      <c r="P105" s="4">
        <f t="shared" si="36"/>
        <v>9.059753850297704E-2</v>
      </c>
      <c r="Q105">
        <f t="shared" si="30"/>
        <v>1.35410176826226</v>
      </c>
      <c r="R105">
        <f t="shared" si="29"/>
        <v>0.24279374559883155</v>
      </c>
      <c r="S105" s="3">
        <f t="shared" si="28"/>
        <v>0.15107153091385322</v>
      </c>
      <c r="T105" s="2">
        <f t="shared" si="37"/>
        <v>6.8091490275563438E-2</v>
      </c>
      <c r="U105" s="3">
        <f t="shared" si="38"/>
        <v>1.912555670053102E-2</v>
      </c>
      <c r="V105">
        <v>2.4141414141414099</v>
      </c>
      <c r="W105" s="13">
        <f t="shared" si="39"/>
        <v>42.627704739679842</v>
      </c>
      <c r="X105" s="2">
        <f t="shared" si="40"/>
        <v>31.077599436650438</v>
      </c>
      <c r="Y105" s="3">
        <f t="shared" si="41"/>
        <v>22.962872698905688</v>
      </c>
      <c r="Z105" s="13">
        <f t="shared" si="42"/>
        <v>3.5602357276048795</v>
      </c>
      <c r="AA105" s="2">
        <f t="shared" si="43"/>
        <v>0.28088027774294094</v>
      </c>
      <c r="AB105" s="3">
        <f t="shared" si="44"/>
        <v>0.27382479766974555</v>
      </c>
      <c r="AC105">
        <f t="shared" si="45"/>
        <v>1.8239791890757206E-2</v>
      </c>
      <c r="AD105" s="2">
        <f t="shared" si="46"/>
        <v>99624010.090494916</v>
      </c>
      <c r="AE105">
        <f t="shared" si="47"/>
        <v>72630583.76641266</v>
      </c>
      <c r="AF105" s="3">
        <f t="shared" si="48"/>
        <v>53665884.087187946</v>
      </c>
      <c r="AG105">
        <f t="shared" si="49"/>
        <v>-26993426.32408227</v>
      </c>
      <c r="AI105" s="2">
        <f t="shared" si="50"/>
        <v>-1227.2373893760134</v>
      </c>
      <c r="AJ105" s="2">
        <f t="shared" si="51"/>
        <v>-2089.4542952701609</v>
      </c>
      <c r="AK105">
        <f t="shared" si="52"/>
        <v>-45958126.003306977</v>
      </c>
      <c r="AO105" s="2">
        <f t="shared" si="53"/>
        <v>689.13560501083475</v>
      </c>
      <c r="AP105" s="3">
        <f t="shared" si="54"/>
        <v>631.98094113678349</v>
      </c>
    </row>
    <row r="106" spans="1:42" ht="14.65" thickBot="1" x14ac:dyDescent="0.5">
      <c r="A106" s="2">
        <v>0.70099999999999996</v>
      </c>
      <c r="B106" s="4">
        <f t="shared" si="55"/>
        <v>55000</v>
      </c>
      <c r="C106">
        <v>2.44343434343434</v>
      </c>
      <c r="D106" s="5">
        <f t="shared" si="31"/>
        <v>1</v>
      </c>
      <c r="F106" s="2">
        <v>389.97</v>
      </c>
      <c r="G106" s="3">
        <v>2.8650000000000003E-4</v>
      </c>
      <c r="H106">
        <v>1.8372444065341002E-2</v>
      </c>
      <c r="I106">
        <v>0.16344686561184901</v>
      </c>
      <c r="J106">
        <v>0</v>
      </c>
      <c r="K106" s="13">
        <v>968.07579999999996</v>
      </c>
      <c r="L106">
        <f t="shared" si="32"/>
        <v>2365.4296567676734</v>
      </c>
      <c r="M106">
        <f t="shared" si="33"/>
        <v>801.5206313048717</v>
      </c>
      <c r="N106" s="2">
        <f t="shared" si="34"/>
        <v>0.75183635697622853</v>
      </c>
      <c r="O106">
        <f t="shared" si="35"/>
        <v>1.6495848122081769</v>
      </c>
      <c r="P106" s="4">
        <f t="shared" si="36"/>
        <v>9.059753850297704E-2</v>
      </c>
      <c r="Q106">
        <f t="shared" si="30"/>
        <v>1.4174117855383965</v>
      </c>
      <c r="R106">
        <f t="shared" si="29"/>
        <v>0.23886646320423599</v>
      </c>
      <c r="S106" s="3">
        <f t="shared" si="28"/>
        <v>0.13534878391789693</v>
      </c>
      <c r="T106" s="2">
        <f t="shared" si="37"/>
        <v>6.646865709902805E-2</v>
      </c>
      <c r="U106" s="3">
        <f t="shared" si="38"/>
        <v>1.9094565781802748E-2</v>
      </c>
      <c r="V106">
        <v>2.44343434343434</v>
      </c>
      <c r="W106" s="13">
        <f t="shared" si="39"/>
        <v>43.597700667413491</v>
      </c>
      <c r="X106" s="2">
        <f t="shared" si="40"/>
        <v>30.574907290142207</v>
      </c>
      <c r="Y106" s="3">
        <f t="shared" si="41"/>
        <v>20.573015155520334</v>
      </c>
      <c r="Z106" s="13">
        <f t="shared" si="42"/>
        <v>3.4810248035267257</v>
      </c>
      <c r="AA106" s="2">
        <f t="shared" si="43"/>
        <v>0.28727172497790632</v>
      </c>
      <c r="AB106" s="3">
        <f t="shared" si="44"/>
        <v>0.27973896256038766</v>
      </c>
      <c r="AC106">
        <f t="shared" si="45"/>
        <v>1.8431197284889522E-2</v>
      </c>
      <c r="AD106" s="2">
        <f t="shared" si="46"/>
        <v>103127294.12557966</v>
      </c>
      <c r="AE106">
        <f t="shared" si="47"/>
        <v>72322792.457024515</v>
      </c>
      <c r="AF106" s="3">
        <f t="shared" si="48"/>
        <v>48664020.17799861</v>
      </c>
      <c r="AG106">
        <f t="shared" si="49"/>
        <v>-30804501.66855514</v>
      </c>
      <c r="AI106" s="2">
        <f t="shared" si="50"/>
        <v>-1400.5052843187718</v>
      </c>
      <c r="AJ106" s="2">
        <f t="shared" si="51"/>
        <v>-2476.1349424051837</v>
      </c>
      <c r="AK106">
        <f t="shared" si="52"/>
        <v>-54463273.947581053</v>
      </c>
      <c r="AO106" s="2">
        <f t="shared" si="53"/>
        <v>713.369098130113</v>
      </c>
      <c r="AP106" s="3">
        <f t="shared" si="54"/>
        <v>653.1064058937319</v>
      </c>
    </row>
    <row r="107" spans="1:42" ht="14.65" thickBot="1" x14ac:dyDescent="0.5">
      <c r="A107" s="2">
        <v>0.70099999999999996</v>
      </c>
      <c r="B107" s="4">
        <f t="shared" si="55"/>
        <v>55000</v>
      </c>
      <c r="C107">
        <v>2.47272727272727</v>
      </c>
      <c r="D107" s="5">
        <f t="shared" si="31"/>
        <v>1</v>
      </c>
      <c r="F107" s="2">
        <v>389.97</v>
      </c>
      <c r="G107" s="3">
        <v>2.8650000000000003E-4</v>
      </c>
      <c r="H107">
        <v>1.8367736380876E-2</v>
      </c>
      <c r="I107">
        <v>0.165485588617759</v>
      </c>
      <c r="J107">
        <v>0</v>
      </c>
      <c r="K107" s="13">
        <v>968.07579999999996</v>
      </c>
      <c r="L107">
        <f t="shared" si="32"/>
        <v>2393.7874327272698</v>
      </c>
      <c r="M107">
        <f t="shared" si="33"/>
        <v>820.85376761914176</v>
      </c>
      <c r="N107" s="2">
        <f t="shared" si="34"/>
        <v>0.75183635697622853</v>
      </c>
      <c r="O107">
        <f t="shared" si="35"/>
        <v>1.6712390187039832</v>
      </c>
      <c r="P107" s="4">
        <f t="shared" si="36"/>
        <v>9.059753850297704E-2</v>
      </c>
      <c r="Q107">
        <f t="shared" si="30"/>
        <v>1.4836099929652664</v>
      </c>
      <c r="R107">
        <f t="shared" si="29"/>
        <v>0.23407127364712554</v>
      </c>
      <c r="S107" s="3">
        <f t="shared" si="28"/>
        <v>0.11814281478685064</v>
      </c>
      <c r="T107" s="2">
        <f t="shared" si="37"/>
        <v>6.4903155838006585E-2</v>
      </c>
      <c r="U107" s="3">
        <f t="shared" si="38"/>
        <v>1.9064831124131182E-2</v>
      </c>
      <c r="V107">
        <v>2.47272727272727</v>
      </c>
      <c r="W107" s="13">
        <f t="shared" si="39"/>
        <v>44.579772861290103</v>
      </c>
      <c r="X107" s="2">
        <f t="shared" si="40"/>
        <v>29.96112302683207</v>
      </c>
      <c r="Y107" s="3">
        <f t="shared" si="41"/>
        <v>17.957707847601299</v>
      </c>
      <c r="Z107" s="13">
        <f t="shared" si="42"/>
        <v>3.4043394046043161</v>
      </c>
      <c r="AA107" s="2">
        <f t="shared" si="43"/>
        <v>0.29374274452409638</v>
      </c>
      <c r="AB107" s="3">
        <f t="shared" si="44"/>
        <v>0.28570635310242659</v>
      </c>
      <c r="AC107">
        <f t="shared" si="45"/>
        <v>1.8623112583768496E-2</v>
      </c>
      <c r="AD107" s="2">
        <f t="shared" si="46"/>
        <v>106714500.02919245</v>
      </c>
      <c r="AE107">
        <f t="shared" si="47"/>
        <v>71720559.772026226</v>
      </c>
      <c r="AF107" s="3">
        <f t="shared" si="48"/>
        <v>42986935.36617586</v>
      </c>
      <c r="AG107">
        <f t="shared" si="49"/>
        <v>-34993940.257166229</v>
      </c>
      <c r="AI107" s="2">
        <f t="shared" si="50"/>
        <v>-1590.9752015019512</v>
      </c>
      <c r="AJ107" s="2">
        <f t="shared" si="51"/>
        <v>-2897.3294886450667</v>
      </c>
      <c r="AK107">
        <f t="shared" si="52"/>
        <v>-63727564.663016595</v>
      </c>
      <c r="AO107" s="2">
        <f t="shared" si="53"/>
        <v>738.18310941553602</v>
      </c>
      <c r="AP107" s="3">
        <f t="shared" si="54"/>
        <v>674.65365820883346</v>
      </c>
    </row>
    <row r="108" spans="1:42" ht="14.65" thickBot="1" x14ac:dyDescent="0.5">
      <c r="A108" s="2">
        <v>0.70099999999999996</v>
      </c>
      <c r="B108" s="4">
        <f t="shared" si="55"/>
        <v>55000</v>
      </c>
      <c r="C108">
        <v>2.5020202020202</v>
      </c>
      <c r="D108" s="5">
        <f t="shared" si="31"/>
        <v>1</v>
      </c>
      <c r="F108" s="2">
        <v>389.97</v>
      </c>
      <c r="G108" s="3">
        <v>2.8650000000000003E-4</v>
      </c>
      <c r="H108">
        <v>1.8363087652944001E-2</v>
      </c>
      <c r="I108">
        <v>0.16752073062509301</v>
      </c>
      <c r="J108">
        <v>0</v>
      </c>
      <c r="K108" s="13">
        <v>968.07579999999996</v>
      </c>
      <c r="L108">
        <f t="shared" si="32"/>
        <v>2422.1452086868667</v>
      </c>
      <c r="M108">
        <f t="shared" si="33"/>
        <v>840.41729676394982</v>
      </c>
      <c r="N108" s="2">
        <f t="shared" si="34"/>
        <v>0.75183635697622853</v>
      </c>
      <c r="O108">
        <f t="shared" si="35"/>
        <v>1.6931512782050817</v>
      </c>
      <c r="P108" s="4">
        <f t="shared" si="36"/>
        <v>9.059753850297704E-2</v>
      </c>
      <c r="Q108">
        <f t="shared" si="30"/>
        <v>1.5528157824945898</v>
      </c>
      <c r="R108">
        <f t="shared" si="29"/>
        <v>0.22833784856047804</v>
      </c>
      <c r="S108" s="3">
        <f t="shared" si="28"/>
        <v>9.9364894783999694E-2</v>
      </c>
      <c r="T108" s="2">
        <f t="shared" si="37"/>
        <v>6.3392317370359608E-2</v>
      </c>
      <c r="U108" s="3">
        <f t="shared" si="38"/>
        <v>1.9036284099257117E-2</v>
      </c>
      <c r="V108">
        <v>2.5020202020202</v>
      </c>
      <c r="W108" s="13">
        <f t="shared" si="39"/>
        <v>45.573906035644228</v>
      </c>
      <c r="X108" s="2">
        <f t="shared" si="40"/>
        <v>29.227244615741188</v>
      </c>
      <c r="Y108" s="3">
        <f t="shared" si="41"/>
        <v>15.103464007167954</v>
      </c>
      <c r="Z108" s="13">
        <f t="shared" si="42"/>
        <v>3.3300783409107382</v>
      </c>
      <c r="AA108" s="2">
        <f t="shared" si="43"/>
        <v>0.3002932356619909</v>
      </c>
      <c r="AB108" s="3">
        <f t="shared" si="44"/>
        <v>0.29172579630414164</v>
      </c>
      <c r="AC108">
        <f t="shared" si="45"/>
        <v>1.8815513567145507E-2</v>
      </c>
      <c r="AD108" s="2">
        <f t="shared" si="46"/>
        <v>110386618.14538114</v>
      </c>
      <c r="AE108">
        <f t="shared" si="47"/>
        <v>70792630.509136543</v>
      </c>
      <c r="AF108" s="3">
        <f t="shared" si="48"/>
        <v>36582782.979536399</v>
      </c>
      <c r="AG108">
        <f t="shared" si="49"/>
        <v>-39593987.636244603</v>
      </c>
      <c r="AI108" s="2">
        <f t="shared" si="50"/>
        <v>-1800.1131623050078</v>
      </c>
      <c r="AJ108" s="2">
        <f t="shared" si="51"/>
        <v>-3355.4401322540625</v>
      </c>
      <c r="AK108">
        <f t="shared" si="52"/>
        <v>-73803835.165844738</v>
      </c>
      <c r="AO108" s="2">
        <f t="shared" si="53"/>
        <v>763.58448943800499</v>
      </c>
      <c r="AP108" s="3">
        <f t="shared" si="54"/>
        <v>696.6223617778154</v>
      </c>
    </row>
    <row r="109" spans="1:42" ht="14.65" thickBot="1" x14ac:dyDescent="0.5">
      <c r="A109" s="2">
        <v>0.70099999999999996</v>
      </c>
      <c r="B109" s="4">
        <f t="shared" si="55"/>
        <v>55000</v>
      </c>
      <c r="C109">
        <v>2.5313131313131301</v>
      </c>
      <c r="D109" s="5">
        <f t="shared" si="31"/>
        <v>1</v>
      </c>
      <c r="F109" s="2">
        <v>389.97</v>
      </c>
      <c r="G109" s="3">
        <v>2.8650000000000003E-4</v>
      </c>
      <c r="H109">
        <v>1.8358495720488002E-2</v>
      </c>
      <c r="I109">
        <v>0.169552426088176</v>
      </c>
      <c r="J109">
        <v>0</v>
      </c>
      <c r="K109" s="13">
        <v>968.07579999999996</v>
      </c>
      <c r="L109">
        <f t="shared" si="32"/>
        <v>2450.5029846464631</v>
      </c>
      <c r="M109">
        <f t="shared" si="33"/>
        <v>860.21121873929542</v>
      </c>
      <c r="N109" s="2">
        <f t="shared" si="34"/>
        <v>0.75183635697622853</v>
      </c>
      <c r="O109">
        <f t="shared" si="35"/>
        <v>1.7153215907114721</v>
      </c>
      <c r="P109" s="4">
        <f t="shared" si="36"/>
        <v>9.059753850297704E-2</v>
      </c>
      <c r="Q109">
        <f t="shared" si="30"/>
        <v>1.6251528208759622</v>
      </c>
      <c r="R109">
        <f t="shared" si="29"/>
        <v>0.22159174162980791</v>
      </c>
      <c r="S109" s="3">
        <f t="shared" si="28"/>
        <v>7.892230474890484E-2</v>
      </c>
      <c r="T109" s="2">
        <f t="shared" si="37"/>
        <v>6.1933626113456187E-2</v>
      </c>
      <c r="U109" s="3">
        <f t="shared" si="38"/>
        <v>1.9008860515499888E-2</v>
      </c>
      <c r="V109">
        <v>2.5313131313131301</v>
      </c>
      <c r="W109" s="13">
        <f t="shared" si="39"/>
        <v>46.580085244672084</v>
      </c>
      <c r="X109" s="2">
        <f t="shared" si="40"/>
        <v>28.363742928615412</v>
      </c>
      <c r="Y109" s="3">
        <f t="shared" si="41"/>
        <v>11.996190321833536</v>
      </c>
      <c r="Z109" s="13">
        <f t="shared" si="42"/>
        <v>3.2581451193750044</v>
      </c>
      <c r="AA109" s="2">
        <f t="shared" si="43"/>
        <v>0.30692309991146915</v>
      </c>
      <c r="AB109" s="3">
        <f t="shared" si="44"/>
        <v>0.29779609803991736</v>
      </c>
      <c r="AC109">
        <f t="shared" si="45"/>
        <v>1.9008377274591343E-2</v>
      </c>
      <c r="AD109" s="2">
        <f t="shared" si="46"/>
        <v>114144637.91715562</v>
      </c>
      <c r="AE109">
        <f t="shared" si="47"/>
        <v>69505436.702317074</v>
      </c>
      <c r="AF109" s="3">
        <f t="shared" si="48"/>
        <v>29396700.188040096</v>
      </c>
      <c r="AG109">
        <f t="shared" si="49"/>
        <v>-44639201.214838535</v>
      </c>
      <c r="AI109" s="2">
        <f t="shared" si="50"/>
        <v>-2029.4902953410651</v>
      </c>
      <c r="AJ109" s="2">
        <f t="shared" si="51"/>
        <v>-3853.0061580545462</v>
      </c>
      <c r="AK109">
        <f t="shared" si="52"/>
        <v>-84747937.729115516</v>
      </c>
      <c r="AO109" s="2">
        <f t="shared" si="53"/>
        <v>789.58008253561286</v>
      </c>
      <c r="AP109" s="3">
        <f t="shared" si="54"/>
        <v>719.01193838102199</v>
      </c>
    </row>
    <row r="110" spans="1:42" ht="14.65" thickBot="1" x14ac:dyDescent="0.5">
      <c r="A110" s="2">
        <v>0.70099999999999996</v>
      </c>
      <c r="B110" s="4">
        <f t="shared" si="55"/>
        <v>55000</v>
      </c>
      <c r="C110">
        <v>2.5606060606060601</v>
      </c>
      <c r="D110" s="5">
        <f t="shared" si="31"/>
        <v>1</v>
      </c>
      <c r="F110" s="2">
        <v>389.97</v>
      </c>
      <c r="G110" s="3">
        <v>2.8650000000000003E-4</v>
      </c>
      <c r="H110">
        <v>1.8353958551333E-2</v>
      </c>
      <c r="I110">
        <v>0.17158080279563101</v>
      </c>
      <c r="J110">
        <v>0</v>
      </c>
      <c r="K110" s="13">
        <v>968.07579999999996</v>
      </c>
      <c r="L110">
        <f t="shared" si="32"/>
        <v>2478.86076060606</v>
      </c>
      <c r="M110">
        <f t="shared" si="33"/>
        <v>880.23553354517912</v>
      </c>
      <c r="N110" s="2">
        <f t="shared" si="34"/>
        <v>0.75183635697622853</v>
      </c>
      <c r="O110">
        <f t="shared" si="35"/>
        <v>1.7377499562231546</v>
      </c>
      <c r="P110" s="4">
        <f t="shared" si="36"/>
        <v>9.059753850297704E-2</v>
      </c>
      <c r="Q110">
        <f t="shared" si="30"/>
        <v>1.700749173173759</v>
      </c>
      <c r="R110">
        <f t="shared" si="29"/>
        <v>0.21375419986211647</v>
      </c>
      <c r="S110" s="3">
        <f t="shared" si="28"/>
        <v>5.6718199155899977E-2</v>
      </c>
      <c r="T110" s="2">
        <f t="shared" si="37"/>
        <v>6.0524709546124614E-2</v>
      </c>
      <c r="U110" s="3">
        <f t="shared" si="38"/>
        <v>1.8982500291261424E-2</v>
      </c>
      <c r="V110">
        <v>2.5606060606060601</v>
      </c>
      <c r="W110" s="13">
        <f t="shared" si="39"/>
        <v>47.598295878697989</v>
      </c>
      <c r="X110" s="2">
        <f t="shared" si="40"/>
        <v>27.360537582350908</v>
      </c>
      <c r="Y110" s="3">
        <f t="shared" si="41"/>
        <v>8.6211662716967972</v>
      </c>
      <c r="Z110" s="13">
        <f t="shared" si="42"/>
        <v>3.1884477080180584</v>
      </c>
      <c r="AA110" s="2">
        <f t="shared" si="43"/>
        <v>0.3136322410072081</v>
      </c>
      <c r="AB110" s="3">
        <f t="shared" si="44"/>
        <v>0.30391604343552014</v>
      </c>
      <c r="AC110">
        <f t="shared" si="45"/>
        <v>1.9201681931929334E-2</v>
      </c>
      <c r="AD110" s="2">
        <f t="shared" si="46"/>
        <v>117989547.9254216</v>
      </c>
      <c r="AE110">
        <f t="shared" si="47"/>
        <v>67822963.001977056</v>
      </c>
      <c r="AF110" s="3">
        <f t="shared" si="48"/>
        <v>21370670.781569634</v>
      </c>
      <c r="AG110">
        <f t="shared" si="49"/>
        <v>-50166584.923444517</v>
      </c>
      <c r="AI110" s="2">
        <f t="shared" si="50"/>
        <v>-2280.7889586225497</v>
      </c>
      <c r="AJ110" s="2">
        <f t="shared" si="51"/>
        <v>-4392.7101779101013</v>
      </c>
      <c r="AK110">
        <f t="shared" si="52"/>
        <v>-96618877.143851951</v>
      </c>
      <c r="AO110" s="2">
        <f t="shared" si="53"/>
        <v>816.17672708296368</v>
      </c>
      <c r="AP110" s="3">
        <f t="shared" si="54"/>
        <v>741.82156669523465</v>
      </c>
    </row>
    <row r="111" spans="1:42" ht="14.65" thickBot="1" x14ac:dyDescent="0.5">
      <c r="A111" s="2">
        <v>0.70099999999999996</v>
      </c>
      <c r="B111" s="4">
        <f t="shared" si="55"/>
        <v>55000</v>
      </c>
      <c r="C111">
        <v>2.5898989898989901</v>
      </c>
      <c r="D111" s="5">
        <f t="shared" si="31"/>
        <v>1</v>
      </c>
      <c r="F111" s="2">
        <v>389.97</v>
      </c>
      <c r="G111" s="3">
        <v>2.8650000000000003E-4</v>
      </c>
      <c r="H111">
        <v>1.8349474231674E-2</v>
      </c>
      <c r="I111">
        <v>0.17360598227276899</v>
      </c>
      <c r="J111">
        <v>0</v>
      </c>
      <c r="K111" s="13">
        <v>968.07579999999996</v>
      </c>
      <c r="L111">
        <f t="shared" si="32"/>
        <v>2507.2185365656569</v>
      </c>
      <c r="M111">
        <f t="shared" si="33"/>
        <v>900.49024118160082</v>
      </c>
      <c r="N111" s="2">
        <f t="shared" si="34"/>
        <v>0.75183635697622853</v>
      </c>
      <c r="O111">
        <f t="shared" si="35"/>
        <v>1.7604363747401295</v>
      </c>
      <c r="P111" s="4">
        <f t="shared" si="36"/>
        <v>9.059753850297704E-2</v>
      </c>
      <c r="Q111">
        <f t="shared" si="30"/>
        <v>1.7797374288741481</v>
      </c>
      <c r="R111">
        <f t="shared" si="29"/>
        <v>0.20474196827427751</v>
      </c>
      <c r="S111" s="3">
        <f t="shared" si="28"/>
        <v>3.2651466963332904E-2</v>
      </c>
      <c r="T111" s="2">
        <f t="shared" si="37"/>
        <v>5.9163328555446155E-2</v>
      </c>
      <c r="U111" s="3">
        <f t="shared" si="38"/>
        <v>1.8957147155203937E-2</v>
      </c>
      <c r="V111">
        <v>2.5898989898989901</v>
      </c>
      <c r="W111" s="13">
        <f t="shared" si="39"/>
        <v>48.628523659509597</v>
      </c>
      <c r="X111" s="2">
        <f t="shared" si="40"/>
        <v>26.206971939107522</v>
      </c>
      <c r="Y111" s="3">
        <f t="shared" si="41"/>
        <v>4.9630229784266016</v>
      </c>
      <c r="Z111" s="13">
        <f t="shared" si="42"/>
        <v>3.1208983119174234</v>
      </c>
      <c r="AA111" s="2">
        <f t="shared" si="43"/>
        <v>0.32042056486794601</v>
      </c>
      <c r="AB111" s="3">
        <f t="shared" si="44"/>
        <v>0.31008439729222725</v>
      </c>
      <c r="AC111">
        <f t="shared" si="45"/>
        <v>1.9395406882289599E-2</v>
      </c>
      <c r="AD111" s="2">
        <f t="shared" si="46"/>
        <v>121922335.92494407</v>
      </c>
      <c r="AE111">
        <f t="shared" si="47"/>
        <v>65706605.8329864</v>
      </c>
      <c r="AF111" s="3">
        <f t="shared" si="48"/>
        <v>12443383.208912471</v>
      </c>
      <c r="AG111">
        <f t="shared" si="49"/>
        <v>-56215730.091957681</v>
      </c>
      <c r="AI111" s="2">
        <f t="shared" si="50"/>
        <v>-2555.8091444794118</v>
      </c>
      <c r="AJ111" s="2">
        <f t="shared" si="51"/>
        <v>-4977.3845865197154</v>
      </c>
      <c r="AK111">
        <f t="shared" si="52"/>
        <v>-109478952.7160316</v>
      </c>
      <c r="AO111" s="2">
        <f t="shared" si="53"/>
        <v>843.38125573994512</v>
      </c>
      <c r="AP111" s="3">
        <f t="shared" si="54"/>
        <v>765.05018142808524</v>
      </c>
    </row>
    <row r="112" spans="1:42" ht="14.65" thickBot="1" x14ac:dyDescent="0.5">
      <c r="A112" s="2">
        <v>0.70099999999999996</v>
      </c>
      <c r="B112" s="4">
        <f t="shared" si="55"/>
        <v>55000</v>
      </c>
      <c r="C112">
        <v>2.61919191919191</v>
      </c>
      <c r="D112" s="5">
        <f t="shared" si="31"/>
        <v>1</v>
      </c>
      <c r="F112" s="2">
        <v>389.97</v>
      </c>
      <c r="G112" s="3">
        <v>2.8650000000000003E-4</v>
      </c>
      <c r="H112">
        <v>1.8345040956647001E-2</v>
      </c>
      <c r="I112">
        <v>0.17562808015631201</v>
      </c>
      <c r="J112">
        <v>0</v>
      </c>
      <c r="K112" s="13">
        <v>968.07579999999996</v>
      </c>
      <c r="L112">
        <f t="shared" si="32"/>
        <v>2535.5763125252433</v>
      </c>
      <c r="M112">
        <f t="shared" si="33"/>
        <v>920.97534164855267</v>
      </c>
      <c r="N112" s="2">
        <f t="shared" si="34"/>
        <v>0.75183635697622853</v>
      </c>
      <c r="O112">
        <f t="shared" si="35"/>
        <v>1.7833808462623881</v>
      </c>
      <c r="P112" s="4">
        <f t="shared" si="36"/>
        <v>9.059753850297704E-2</v>
      </c>
      <c r="Q112">
        <f t="shared" si="30"/>
        <v>1.8622548306120472</v>
      </c>
      <c r="R112">
        <f t="shared" si="29"/>
        <v>0.1944670878403757</v>
      </c>
      <c r="S112" s="3">
        <f t="shared" si="28"/>
        <v>6.6165892111589557E-3</v>
      </c>
      <c r="T112" s="2">
        <f t="shared" si="37"/>
        <v>5.7847368535009373E-2</v>
      </c>
      <c r="U112" s="3">
        <f t="shared" si="38"/>
        <v>1.8932748370733079E-2</v>
      </c>
      <c r="V112">
        <v>2.61919191919191</v>
      </c>
      <c r="W112" s="13">
        <f t="shared" si="39"/>
        <v>49.670754634944871</v>
      </c>
      <c r="X112" s="2">
        <f t="shared" si="40"/>
        <v>24.891787243568089</v>
      </c>
      <c r="Y112" s="3">
        <f t="shared" si="41"/>
        <v>1.0057215600961613</v>
      </c>
      <c r="Z112" s="13">
        <f t="shared" si="42"/>
        <v>3.0554131604279866</v>
      </c>
      <c r="AA112" s="2">
        <f t="shared" si="43"/>
        <v>0.32728797956081501</v>
      </c>
      <c r="AB112" s="3">
        <f t="shared" si="44"/>
        <v>0.3162999045509835</v>
      </c>
      <c r="AC112">
        <f t="shared" si="45"/>
        <v>1.9589532521494701E-2</v>
      </c>
      <c r="AD112" s="2">
        <f t="shared" si="46"/>
        <v>125943988.87761965</v>
      </c>
      <c r="AE112">
        <f t="shared" si="47"/>
        <v>63115026.111209266</v>
      </c>
      <c r="AF112" s="3">
        <f t="shared" si="48"/>
        <v>2550083.76477576</v>
      </c>
      <c r="AG112">
        <f t="shared" si="49"/>
        <v>-62828962.766410388</v>
      </c>
      <c r="AI112" s="2">
        <f t="shared" si="50"/>
        <v>-2856.4751772123805</v>
      </c>
      <c r="AJ112" s="2">
        <f t="shared" si="51"/>
        <v>-5610.0182376809298</v>
      </c>
      <c r="AK112">
        <f t="shared" si="52"/>
        <v>-123393905.11284389</v>
      </c>
      <c r="AO112" s="2">
        <f t="shared" si="53"/>
        <v>871.20049568188472</v>
      </c>
      <c r="AP112" s="3">
        <f t="shared" si="54"/>
        <v>788.69647278811613</v>
      </c>
    </row>
    <row r="113" spans="1:42" ht="14.65" thickBot="1" x14ac:dyDescent="0.5">
      <c r="A113" s="2">
        <v>0.70099999999999996</v>
      </c>
      <c r="B113" s="4">
        <f t="shared" si="55"/>
        <v>55000</v>
      </c>
      <c r="C113">
        <v>2.64848484848484</v>
      </c>
      <c r="D113" s="5">
        <f t="shared" si="31"/>
        <v>1</v>
      </c>
      <c r="F113" s="2">
        <v>389.97</v>
      </c>
      <c r="G113" s="3">
        <v>2.8650000000000003E-4</v>
      </c>
      <c r="H113">
        <v>1.8340657021836002E-2</v>
      </c>
      <c r="I113">
        <v>0.177647206543462</v>
      </c>
      <c r="J113">
        <v>0</v>
      </c>
      <c r="K113" s="13">
        <v>968.07579999999996</v>
      </c>
      <c r="L113">
        <f t="shared" si="32"/>
        <v>2563.9340884848402</v>
      </c>
      <c r="M113">
        <f t="shared" si="33"/>
        <v>941.6908349460499</v>
      </c>
      <c r="N113" s="2">
        <f t="shared" si="34"/>
        <v>0.75183635697622853</v>
      </c>
      <c r="O113">
        <f t="shared" si="35"/>
        <v>1.8065833707899472</v>
      </c>
      <c r="P113" s="4">
        <f t="shared" si="36"/>
        <v>9.059753850297704E-2</v>
      </c>
      <c r="Q113">
        <f t="shared" si="30"/>
        <v>1.9484434055480542</v>
      </c>
      <c r="R113">
        <f t="shared" si="29"/>
        <v>0.18283668653539201</v>
      </c>
      <c r="S113" s="3">
        <f t="shared" si="28"/>
        <v>-2.1496506675634193E-2</v>
      </c>
      <c r="T113" s="2">
        <f t="shared" si="37"/>
        <v>5.6574831168503641E-2</v>
      </c>
      <c r="U113" s="3">
        <f t="shared" si="38"/>
        <v>1.8909254482625419E-2</v>
      </c>
      <c r="V113">
        <v>2.64848484848484</v>
      </c>
      <c r="W113" s="13">
        <f t="shared" si="39"/>
        <v>50.724975172843344</v>
      </c>
      <c r="X113" s="2">
        <f t="shared" si="40"/>
        <v>23.403095876530177</v>
      </c>
      <c r="Y113" s="3">
        <f t="shared" si="41"/>
        <v>-3.2674690146963972</v>
      </c>
      <c r="Z113" s="13">
        <f t="shared" si="42"/>
        <v>2.9919123051882801</v>
      </c>
      <c r="AA113" s="2">
        <f t="shared" si="43"/>
        <v>0.33423439526148491</v>
      </c>
      <c r="AB113" s="3">
        <f t="shared" si="44"/>
        <v>0.32256129079718865</v>
      </c>
      <c r="AC113">
        <f t="shared" si="45"/>
        <v>1.9784040237484937E-2</v>
      </c>
      <c r="AD113" s="2">
        <f t="shared" si="46"/>
        <v>130055492.98320025</v>
      </c>
      <c r="AE113">
        <f t="shared" si="47"/>
        <v>60003995.29391472</v>
      </c>
      <c r="AF113" s="3">
        <f t="shared" si="48"/>
        <v>-8377575.1898480663</v>
      </c>
      <c r="AG113">
        <f t="shared" si="49"/>
        <v>-70051497.689285517</v>
      </c>
      <c r="AI113" s="2">
        <f t="shared" si="50"/>
        <v>-3184.8427137010153</v>
      </c>
      <c r="AJ113" s="2">
        <f t="shared" si="51"/>
        <v>-6293.7633462423919</v>
      </c>
      <c r="AK113">
        <f t="shared" si="52"/>
        <v>-138433068.17304832</v>
      </c>
      <c r="AO113" s="2">
        <f t="shared" si="53"/>
        <v>899.64126881207767</v>
      </c>
      <c r="AP113" s="3">
        <f t="shared" si="54"/>
        <v>812.75888630180407</v>
      </c>
    </row>
    <row r="114" spans="1:42" ht="14.65" thickBot="1" x14ac:dyDescent="0.5">
      <c r="A114" s="2">
        <v>0.70099999999999996</v>
      </c>
      <c r="B114" s="4">
        <f t="shared" si="55"/>
        <v>55000</v>
      </c>
      <c r="C114">
        <v>2.67777777777777</v>
      </c>
      <c r="D114" s="5">
        <f t="shared" si="31"/>
        <v>1</v>
      </c>
      <c r="F114" s="2">
        <v>389.97</v>
      </c>
      <c r="G114" s="3">
        <v>2.8650000000000003E-4</v>
      </c>
      <c r="H114">
        <v>1.8336320815618999E-2</v>
      </c>
      <c r="I114">
        <v>0.179663466317172</v>
      </c>
      <c r="J114">
        <v>0</v>
      </c>
      <c r="K114" s="13">
        <v>968.07579999999996</v>
      </c>
      <c r="L114">
        <f t="shared" si="32"/>
        <v>2592.2918644444367</v>
      </c>
      <c r="M114">
        <f t="shared" si="33"/>
        <v>962.63672107408456</v>
      </c>
      <c r="N114" s="2">
        <f t="shared" si="34"/>
        <v>0.75183635697622853</v>
      </c>
      <c r="O114">
        <f t="shared" si="35"/>
        <v>1.8300439483227982</v>
      </c>
      <c r="P114" s="4">
        <f t="shared" si="36"/>
        <v>9.059753850297704E-2</v>
      </c>
      <c r="Q114">
        <f t="shared" si="30"/>
        <v>2.0384500994247814</v>
      </c>
      <c r="R114">
        <f t="shared" si="29"/>
        <v>0.16975276331060948</v>
      </c>
      <c r="S114" s="3">
        <f t="shared" si="28"/>
        <v>-5.1802595920172084E-2</v>
      </c>
      <c r="T114" s="2">
        <f t="shared" si="37"/>
        <v>5.5343826839013628E-2</v>
      </c>
      <c r="U114" s="3">
        <f t="shared" si="38"/>
        <v>1.8886619083873724E-2</v>
      </c>
      <c r="V114">
        <v>2.67777777777777</v>
      </c>
      <c r="W114" s="13">
        <f t="shared" si="39"/>
        <v>51.79117195452443</v>
      </c>
      <c r="X114" s="2">
        <f t="shared" si="40"/>
        <v>21.728353703758014</v>
      </c>
      <c r="Y114" s="3">
        <f t="shared" si="41"/>
        <v>-7.8739945798661566</v>
      </c>
      <c r="Z114" s="13">
        <f t="shared" si="42"/>
        <v>2.9303194284396179</v>
      </c>
      <c r="AA114" s="2">
        <f t="shared" si="43"/>
        <v>0.34125972421119138</v>
      </c>
      <c r="AB114" s="3">
        <f t="shared" si="44"/>
        <v>0.32886726280686446</v>
      </c>
      <c r="AC114">
        <f t="shared" si="45"/>
        <v>1.9978912353537777E-2</v>
      </c>
      <c r="AD114" s="2">
        <f t="shared" si="46"/>
        <v>134257833.70775658</v>
      </c>
      <c r="AE114">
        <f t="shared" si="47"/>
        <v>56326234.534023046</v>
      </c>
      <c r="AF114" s="3">
        <f t="shared" si="48"/>
        <v>-20411692.090066627</v>
      </c>
      <c r="AG114">
        <f t="shared" si="49"/>
        <v>-77931599.173733503</v>
      </c>
      <c r="AI114" s="2">
        <f t="shared" si="50"/>
        <v>-3543.1060574383087</v>
      </c>
      <c r="AJ114" s="2">
        <f t="shared" si="51"/>
        <v>-7031.9426210373786</v>
      </c>
      <c r="AK114">
        <f t="shared" si="52"/>
        <v>-154669525.79782316</v>
      </c>
      <c r="AO114" s="2">
        <f t="shared" si="53"/>
        <v>928.71039195867843</v>
      </c>
      <c r="AP114" s="3">
        <f t="shared" si="54"/>
        <v>837.23562298865193</v>
      </c>
    </row>
    <row r="115" spans="1:42" ht="14.65" thickBot="1" x14ac:dyDescent="0.5">
      <c r="A115" s="2">
        <v>0.70099999999999996</v>
      </c>
      <c r="B115" s="4">
        <f t="shared" si="55"/>
        <v>55000</v>
      </c>
      <c r="C115">
        <v>2.7070707070707001</v>
      </c>
      <c r="D115" s="5">
        <f t="shared" si="31"/>
        <v>1</v>
      </c>
      <c r="F115" s="2">
        <v>389.97</v>
      </c>
      <c r="G115" s="3">
        <v>2.8650000000000003E-4</v>
      </c>
      <c r="H115">
        <v>1.8332030812241999E-2</v>
      </c>
      <c r="I115">
        <v>0.18167695944937301</v>
      </c>
      <c r="J115">
        <v>0</v>
      </c>
      <c r="K115" s="13">
        <v>968.07579999999996</v>
      </c>
      <c r="L115">
        <f t="shared" si="32"/>
        <v>2620.6496404040336</v>
      </c>
      <c r="M115">
        <f t="shared" si="33"/>
        <v>983.81300003265756</v>
      </c>
      <c r="N115" s="2">
        <f t="shared" si="34"/>
        <v>0.75183635697622853</v>
      </c>
      <c r="O115">
        <f t="shared" si="35"/>
        <v>1.8537625788609411</v>
      </c>
      <c r="P115" s="4">
        <f t="shared" si="36"/>
        <v>9.059753850297704E-2</v>
      </c>
      <c r="Q115">
        <f t="shared" si="30"/>
        <v>2.1324269133331168</v>
      </c>
      <c r="R115">
        <f t="shared" si="29"/>
        <v>0.15511196483389539</v>
      </c>
      <c r="S115" s="3">
        <f t="shared" si="28"/>
        <v>-8.4421308806225059E-2</v>
      </c>
      <c r="T115" s="2">
        <f t="shared" si="37"/>
        <v>5.4152567610136794E-2</v>
      </c>
      <c r="U115" s="3">
        <f t="shared" si="38"/>
        <v>1.8864798600976538E-2</v>
      </c>
      <c r="V115">
        <v>2.7070707070707001</v>
      </c>
      <c r="W115" s="13">
        <f t="shared" si="39"/>
        <v>52.869331967876079</v>
      </c>
      <c r="X115" s="2">
        <f t="shared" si="40"/>
        <v>19.85433149873861</v>
      </c>
      <c r="Y115" s="3">
        <f t="shared" si="41"/>
        <v>-12.832038938546209</v>
      </c>
      <c r="Z115" s="13">
        <f t="shared" si="42"/>
        <v>2.870561661195449</v>
      </c>
      <c r="AA115" s="2">
        <f t="shared" si="43"/>
        <v>0.34836388067119545</v>
      </c>
      <c r="AB115" s="3">
        <f t="shared" si="44"/>
        <v>0.33521650913431433</v>
      </c>
      <c r="AC115">
        <f t="shared" si="45"/>
        <v>2.0174132075024363E-2</v>
      </c>
      <c r="AD115" s="2">
        <f t="shared" si="46"/>
        <v>138551995.81001592</v>
      </c>
      <c r="AE115">
        <f t="shared" si="47"/>
        <v>52031246.702631809</v>
      </c>
      <c r="AF115" s="3">
        <f t="shared" si="48"/>
        <v>-33628278.22995168</v>
      </c>
      <c r="AG115">
        <f t="shared" si="49"/>
        <v>-86520749.107384115</v>
      </c>
      <c r="AI115" s="2">
        <f t="shared" si="50"/>
        <v>-3933.6057967073625</v>
      </c>
      <c r="AJ115" s="2">
        <f t="shared" si="51"/>
        <v>-7828.0566341568529</v>
      </c>
      <c r="AK115">
        <f t="shared" si="52"/>
        <v>-172180274.03996763</v>
      </c>
      <c r="AO115" s="2">
        <f t="shared" si="53"/>
        <v>958.41467705688922</v>
      </c>
      <c r="AP115" s="3">
        <f t="shared" si="54"/>
        <v>862.12463990347317</v>
      </c>
    </row>
    <row r="116" spans="1:42" ht="14.65" thickBot="1" x14ac:dyDescent="0.5">
      <c r="A116" s="2">
        <v>0.70099999999999996</v>
      </c>
      <c r="B116" s="4">
        <f t="shared" si="55"/>
        <v>55000</v>
      </c>
      <c r="C116">
        <v>2.7363636363636301</v>
      </c>
      <c r="D116" s="5">
        <f t="shared" si="31"/>
        <v>1</v>
      </c>
      <c r="F116" s="2">
        <v>389.97</v>
      </c>
      <c r="G116" s="3">
        <v>2.8650000000000003E-4</v>
      </c>
      <c r="H116">
        <v>1.8327785565551001E-2</v>
      </c>
      <c r="I116">
        <v>0.183687781283775</v>
      </c>
      <c r="J116">
        <v>0</v>
      </c>
      <c r="K116" s="13">
        <v>968.07579999999996</v>
      </c>
      <c r="L116">
        <f t="shared" si="32"/>
        <v>2649.00741636363</v>
      </c>
      <c r="M116">
        <f t="shared" si="33"/>
        <v>1005.219671821768</v>
      </c>
      <c r="N116" s="2">
        <f t="shared" si="34"/>
        <v>0.75183635697622853</v>
      </c>
      <c r="O116">
        <f t="shared" si="35"/>
        <v>1.8777392624043765</v>
      </c>
      <c r="P116" s="4">
        <f t="shared" si="36"/>
        <v>9.059753850297704E-2</v>
      </c>
      <c r="Q116">
        <f t="shared" si="30"/>
        <v>2.2305310432178547</v>
      </c>
      <c r="R116">
        <f t="shared" si="29"/>
        <v>0.13880535482602893</v>
      </c>
      <c r="S116" s="3">
        <f t="shared" si="28"/>
        <v>-0.11947728651268022</v>
      </c>
      <c r="T116" s="2">
        <f t="shared" si="37"/>
        <v>5.299936073022473E-2</v>
      </c>
      <c r="U116" s="3">
        <f t="shared" si="38"/>
        <v>1.8843752096091244E-2</v>
      </c>
      <c r="V116">
        <v>2.7363636363636301</v>
      </c>
      <c r="W116" s="13">
        <f t="shared" si="39"/>
        <v>53.959442500180053</v>
      </c>
      <c r="X116" s="2">
        <f t="shared" si="40"/>
        <v>17.7670854177317</v>
      </c>
      <c r="Y116" s="3">
        <f t="shared" si="41"/>
        <v>-18.160547549927394</v>
      </c>
      <c r="Z116" s="13">
        <f t="shared" si="42"/>
        <v>2.81256941080319</v>
      </c>
      <c r="AA116" s="2">
        <f t="shared" si="43"/>
        <v>0.35554678087550856</v>
      </c>
      <c r="AB116" s="3">
        <f t="shared" si="44"/>
        <v>0.34160770074148994</v>
      </c>
      <c r="AC116">
        <f t="shared" si="45"/>
        <v>2.0369683439486839E-2</v>
      </c>
      <c r="AD116" s="2">
        <f t="shared" si="46"/>
        <v>142938963.36582381</v>
      </c>
      <c r="AE116">
        <f t="shared" si="47"/>
        <v>47065141.038737379</v>
      </c>
      <c r="AF116" s="3">
        <f t="shared" si="48"/>
        <v>-48107425.144982018</v>
      </c>
      <c r="AG116">
        <f t="shared" si="49"/>
        <v>-95873822.327086434</v>
      </c>
      <c r="AI116" s="2">
        <f t="shared" si="50"/>
        <v>-4358.8367778721968</v>
      </c>
      <c r="AJ116" s="2">
        <f t="shared" si="51"/>
        <v>-8685.791431988142</v>
      </c>
      <c r="AK116">
        <f t="shared" si="52"/>
        <v>-191046388.51080582</v>
      </c>
      <c r="AO116" s="2">
        <f t="shared" si="53"/>
        <v>988.76093131817004</v>
      </c>
      <c r="AP116" s="3">
        <f t="shared" si="54"/>
        <v>887.42365105445333</v>
      </c>
    </row>
    <row r="117" spans="1:42" ht="14.65" thickBot="1" x14ac:dyDescent="0.5">
      <c r="A117" s="2">
        <v>0.70099999999999996</v>
      </c>
      <c r="B117" s="4">
        <f t="shared" si="55"/>
        <v>55000</v>
      </c>
      <c r="C117">
        <v>2.7656565656565602</v>
      </c>
      <c r="D117" s="5">
        <f t="shared" si="31"/>
        <v>1</v>
      </c>
      <c r="F117" s="2">
        <v>389.97</v>
      </c>
      <c r="G117" s="3">
        <v>2.8650000000000003E-4</v>
      </c>
      <c r="H117">
        <v>1.8323583703295999E-2</v>
      </c>
      <c r="I117">
        <v>0.18569602279974301</v>
      </c>
      <c r="J117">
        <v>0</v>
      </c>
      <c r="K117" s="13">
        <v>968.07579999999996</v>
      </c>
      <c r="L117">
        <f t="shared" si="32"/>
        <v>2677.3651923232269</v>
      </c>
      <c r="M117">
        <f t="shared" si="33"/>
        <v>1026.8567364414166</v>
      </c>
      <c r="N117" s="2">
        <f t="shared" si="34"/>
        <v>0.75183635697622853</v>
      </c>
      <c r="O117">
        <f t="shared" si="35"/>
        <v>1.9019739989531042</v>
      </c>
      <c r="P117" s="4">
        <f t="shared" si="36"/>
        <v>9.059753850297704E-2</v>
      </c>
      <c r="Q117">
        <f t="shared" si="30"/>
        <v>2.3329250221528284</v>
      </c>
      <c r="R117">
        <f t="shared" si="29"/>
        <v>0.1207181758220786</v>
      </c>
      <c r="S117" s="3">
        <f t="shared" si="28"/>
        <v>-0.157100340412788</v>
      </c>
      <c r="T117" s="2">
        <f t="shared" si="37"/>
        <v>5.1882602615656553E-2</v>
      </c>
      <c r="U117" s="3">
        <f t="shared" si="38"/>
        <v>1.8823441084590768E-2</v>
      </c>
      <c r="V117">
        <v>2.7656565656565602</v>
      </c>
      <c r="W117" s="13">
        <f t="shared" si="39"/>
        <v>55.061491130723475</v>
      </c>
      <c r="X117" s="2">
        <f t="shared" si="40"/>
        <v>15.45192650522606</v>
      </c>
      <c r="Y117" s="3">
        <f t="shared" si="41"/>
        <v>-23.879251742743779</v>
      </c>
      <c r="Z117" s="13">
        <f t="shared" si="42"/>
        <v>2.7562761974551324</v>
      </c>
      <c r="AA117" s="2">
        <f t="shared" si="43"/>
        <v>0.36280834298220882</v>
      </c>
      <c r="AB117" s="3">
        <f t="shared" si="44"/>
        <v>0.34803949166866138</v>
      </c>
      <c r="AC117">
        <f t="shared" si="45"/>
        <v>2.0565551269808299E-2</v>
      </c>
      <c r="AD117" s="2">
        <f t="shared" si="46"/>
        <v>147419719.79081312</v>
      </c>
      <c r="AE117">
        <f t="shared" si="47"/>
        <v>41370450.179428943</v>
      </c>
      <c r="AF117" s="3">
        <f t="shared" si="48"/>
        <v>-63933477.434745952</v>
      </c>
      <c r="AG117">
        <f t="shared" si="49"/>
        <v>-106049269.61138417</v>
      </c>
      <c r="AI117" s="2">
        <f t="shared" si="50"/>
        <v>-4821.4564250036119</v>
      </c>
      <c r="AJ117" s="2">
        <f t="shared" si="51"/>
        <v>-9609.0263935097992</v>
      </c>
      <c r="AK117">
        <f t="shared" si="52"/>
        <v>-211353197.22555903</v>
      </c>
      <c r="AO117" s="2">
        <f t="shared" si="53"/>
        <v>1019.7559573870495</v>
      </c>
      <c r="AP117" s="3">
        <f t="shared" si="54"/>
        <v>913.13012870341061</v>
      </c>
    </row>
    <row r="118" spans="1:42" ht="14.65" thickBot="1" x14ac:dyDescent="0.5">
      <c r="A118" s="2">
        <v>0.70099999999999996</v>
      </c>
      <c r="B118" s="4">
        <f t="shared" si="55"/>
        <v>55000</v>
      </c>
      <c r="C118">
        <v>2.7949494949494902</v>
      </c>
      <c r="D118" s="5">
        <f t="shared" si="31"/>
        <v>1</v>
      </c>
      <c r="F118" s="2">
        <v>389.97</v>
      </c>
      <c r="G118" s="3">
        <v>2.8650000000000003E-4</v>
      </c>
      <c r="H118">
        <v>1.8319423921946E-2</v>
      </c>
      <c r="I118">
        <v>0.187701770858656</v>
      </c>
      <c r="J118">
        <v>0</v>
      </c>
      <c r="K118" s="13">
        <v>968.07579999999996</v>
      </c>
      <c r="L118">
        <f t="shared" si="32"/>
        <v>2705.7229682828233</v>
      </c>
      <c r="M118">
        <f t="shared" si="33"/>
        <v>1048.7241938916027</v>
      </c>
      <c r="N118" s="2">
        <f t="shared" si="34"/>
        <v>0.75183635697622853</v>
      </c>
      <c r="O118">
        <f t="shared" si="35"/>
        <v>1.9264667885071234</v>
      </c>
      <c r="P118" s="4">
        <f t="shared" si="36"/>
        <v>9.059753850297704E-2</v>
      </c>
      <c r="Q118">
        <f t="shared" si="30"/>
        <v>2.4397768654154683</v>
      </c>
      <c r="R118">
        <f t="shared" si="29"/>
        <v>0.10072960318474895</v>
      </c>
      <c r="S118" s="3">
        <f t="shared" si="28"/>
        <v>-0.19742561488102803</v>
      </c>
      <c r="T118" s="2">
        <f t="shared" si="37"/>
        <v>5.0800773273193572E-2</v>
      </c>
      <c r="U118" s="3">
        <f t="shared" si="38"/>
        <v>1.8803829366713293E-2</v>
      </c>
      <c r="V118">
        <v>2.7949494949494902</v>
      </c>
      <c r="W118" s="13">
        <f t="shared" si="39"/>
        <v>56.175465723269866</v>
      </c>
      <c r="X118" s="2">
        <f t="shared" si="40"/>
        <v>12.893389207647866</v>
      </c>
      <c r="Y118" s="3">
        <f t="shared" si="41"/>
        <v>-30.008693461916259</v>
      </c>
      <c r="Z118" s="13">
        <f t="shared" si="42"/>
        <v>2.7016184992149288</v>
      </c>
      <c r="AA118" s="2">
        <f t="shared" si="43"/>
        <v>0.37014848702383141</v>
      </c>
      <c r="AB118" s="3">
        <f t="shared" si="44"/>
        <v>0.35451051974597542</v>
      </c>
      <c r="AC118">
        <f t="shared" si="45"/>
        <v>2.0761721130275732E-2</v>
      </c>
      <c r="AD118" s="2">
        <f t="shared" si="46"/>
        <v>151995247.86143574</v>
      </c>
      <c r="AE118">
        <f t="shared" si="47"/>
        <v>34885939.318142697</v>
      </c>
      <c r="AF118" s="3">
        <f t="shared" si="48"/>
        <v>-81195211.148065418</v>
      </c>
      <c r="AG118">
        <f t="shared" si="49"/>
        <v>-117109308.54329304</v>
      </c>
      <c r="AI118" s="2">
        <f t="shared" si="50"/>
        <v>-5324.2934173228668</v>
      </c>
      <c r="AJ118" s="2">
        <f t="shared" si="51"/>
        <v>-10601.842341403619</v>
      </c>
      <c r="AK118">
        <f t="shared" si="52"/>
        <v>-233190459.00950116</v>
      </c>
      <c r="AO118" s="2">
        <f t="shared" si="53"/>
        <v>1051.4065534866079</v>
      </c>
      <c r="AP118" s="3">
        <f t="shared" si="54"/>
        <v>939.24130505378105</v>
      </c>
    </row>
    <row r="119" spans="1:42" ht="14.65" thickBot="1" x14ac:dyDescent="0.5">
      <c r="A119" s="2">
        <v>0.70099999999999996</v>
      </c>
      <c r="B119" s="4">
        <f t="shared" si="55"/>
        <v>55000</v>
      </c>
      <c r="C119">
        <v>2.8242424242424198</v>
      </c>
      <c r="D119" s="5">
        <f t="shared" si="31"/>
        <v>1</v>
      </c>
      <c r="F119" s="2">
        <v>389.97</v>
      </c>
      <c r="G119" s="3">
        <v>2.8650000000000003E-4</v>
      </c>
      <c r="H119">
        <v>1.8315304981969999E-2</v>
      </c>
      <c r="I119">
        <v>0.18970510843401001</v>
      </c>
      <c r="J119">
        <v>0</v>
      </c>
      <c r="K119" s="13">
        <v>968.07579999999996</v>
      </c>
      <c r="L119">
        <f t="shared" si="32"/>
        <v>2734.0807442424198</v>
      </c>
      <c r="M119">
        <f t="shared" si="33"/>
        <v>1070.8220441723267</v>
      </c>
      <c r="N119" s="2">
        <f t="shared" si="34"/>
        <v>0.75183635697622853</v>
      </c>
      <c r="O119">
        <f t="shared" si="35"/>
        <v>1.9512176310664349</v>
      </c>
      <c r="P119" s="4">
        <f t="shared" si="36"/>
        <v>9.059753850297704E-2</v>
      </c>
      <c r="Q119">
        <f t="shared" si="30"/>
        <v>2.551260218390758</v>
      </c>
      <c r="R119">
        <f t="shared" si="29"/>
        <v>7.8712491194512388E-2</v>
      </c>
      <c r="S119" s="3">
        <f t="shared" si="28"/>
        <v>-0.24059375365052979</v>
      </c>
      <c r="T119" s="2">
        <f t="shared" si="37"/>
        <v>4.97524311251724E-2</v>
      </c>
      <c r="U119" s="3">
        <f t="shared" si="38"/>
        <v>1.8784882872122689E-2</v>
      </c>
      <c r="V119">
        <v>2.8242424242424198</v>
      </c>
      <c r="W119" s="13">
        <f t="shared" si="39"/>
        <v>57.30135441847932</v>
      </c>
      <c r="X119" s="2">
        <f t="shared" si="40"/>
        <v>10.075198872897586</v>
      </c>
      <c r="Y119" s="3">
        <f t="shared" si="41"/>
        <v>-36.570250554880531</v>
      </c>
      <c r="Z119" s="13">
        <f t="shared" si="42"/>
        <v>2.6485356051384517</v>
      </c>
      <c r="AA119" s="2">
        <f t="shared" si="43"/>
        <v>0.37756713485742444</v>
      </c>
      <c r="AB119" s="3">
        <f t="shared" si="44"/>
        <v>0.36101940734541799</v>
      </c>
      <c r="AC119">
        <f t="shared" si="45"/>
        <v>2.0958179285358605E-2</v>
      </c>
      <c r="AD119" s="2">
        <f t="shared" si="46"/>
        <v>156666529.73457462</v>
      </c>
      <c r="AE119">
        <f t="shared" si="47"/>
        <v>27546407.23280222</v>
      </c>
      <c r="AF119" s="3">
        <f t="shared" si="48"/>
        <v>-99986017.854219526</v>
      </c>
      <c r="AG119">
        <f t="shared" si="49"/>
        <v>-129120122.50177239</v>
      </c>
      <c r="AI119" s="2">
        <f t="shared" si="50"/>
        <v>-5870.356736210796</v>
      </c>
      <c r="AJ119" s="2">
        <f t="shared" si="51"/>
        <v>-11668.52991161667</v>
      </c>
      <c r="AK119">
        <f t="shared" si="52"/>
        <v>-256652547.58879414</v>
      </c>
      <c r="AO119" s="2">
        <f t="shared" si="53"/>
        <v>1083.7195135541413</v>
      </c>
      <c r="AP119" s="3">
        <f t="shared" si="54"/>
        <v>965.7541743308459</v>
      </c>
    </row>
    <row r="120" spans="1:42" ht="14.65" thickBot="1" x14ac:dyDescent="0.5">
      <c r="A120" s="2">
        <v>0.70099999999999996</v>
      </c>
      <c r="B120" s="4">
        <f t="shared" si="55"/>
        <v>55000</v>
      </c>
      <c r="C120">
        <v>2.8535353535353498</v>
      </c>
      <c r="D120" s="5">
        <f t="shared" si="31"/>
        <v>1</v>
      </c>
      <c r="F120" s="2">
        <v>389.97</v>
      </c>
      <c r="G120" s="3">
        <v>2.8650000000000003E-4</v>
      </c>
      <c r="H120">
        <v>1.8311225703518001E-2</v>
      </c>
      <c r="I120">
        <v>0.191706114826483</v>
      </c>
      <c r="J120">
        <v>0</v>
      </c>
      <c r="K120" s="13">
        <v>968.07579999999996</v>
      </c>
      <c r="L120">
        <f t="shared" si="32"/>
        <v>2762.4385202020167</v>
      </c>
      <c r="M120">
        <f t="shared" si="33"/>
        <v>1093.1502872835888</v>
      </c>
      <c r="N120" s="2">
        <f t="shared" si="34"/>
        <v>0.75183635697622853</v>
      </c>
      <c r="O120">
        <f t="shared" si="35"/>
        <v>1.9762265266310388</v>
      </c>
      <c r="P120" s="4">
        <f t="shared" si="36"/>
        <v>9.059753850297704E-2</v>
      </c>
      <c r="Q120">
        <f t="shared" si="30"/>
        <v>2.6675545073345437</v>
      </c>
      <c r="R120">
        <f t="shared" si="29"/>
        <v>5.4533111039231079E-2</v>
      </c>
      <c r="S120" s="3">
        <f t="shared" si="28"/>
        <v>-0.28675106976404324</v>
      </c>
      <c r="T120" s="2">
        <f t="shared" si="37"/>
        <v>4.8736208204626263E-2</v>
      </c>
      <c r="U120" s="3">
        <f t="shared" si="38"/>
        <v>1.876656951627844E-2</v>
      </c>
      <c r="V120">
        <v>2.8535353535353498</v>
      </c>
      <c r="W120" s="13">
        <f t="shared" si="39"/>
        <v>58.439145626276215</v>
      </c>
      <c r="X120" s="2">
        <f t="shared" si="40"/>
        <v>6.9802382130215781</v>
      </c>
      <c r="Y120" s="3">
        <f t="shared" si="41"/>
        <v>-43.586162604134572</v>
      </c>
      <c r="Z120" s="13">
        <f t="shared" si="42"/>
        <v>2.596969476086274</v>
      </c>
      <c r="AA120" s="2">
        <f t="shared" si="43"/>
        <v>0.38506421011425818</v>
      </c>
      <c r="AB120" s="3">
        <f t="shared" si="44"/>
        <v>0.36756476217201178</v>
      </c>
      <c r="AC120">
        <f t="shared" si="45"/>
        <v>2.115491266100741E-2</v>
      </c>
      <c r="AD120" s="2">
        <f t="shared" si="46"/>
        <v>161434546.96572062</v>
      </c>
      <c r="AE120">
        <f t="shared" si="47"/>
        <v>19282478.919836897</v>
      </c>
      <c r="AF120" s="3">
        <f t="shared" si="48"/>
        <v>-120404094.52544998</v>
      </c>
      <c r="AG120">
        <f t="shared" si="49"/>
        <v>-142152068.04588372</v>
      </c>
      <c r="AI120" s="2">
        <f t="shared" si="50"/>
        <v>-6462.845093784621</v>
      </c>
      <c r="AJ120" s="2">
        <f t="shared" si="51"/>
        <v>-12813.598187064008</v>
      </c>
      <c r="AK120">
        <f t="shared" si="52"/>
        <v>-281838641.49117064</v>
      </c>
      <c r="AO120" s="2">
        <f t="shared" si="53"/>
        <v>1116.7016273668976</v>
      </c>
      <c r="AP120" s="3">
        <f t="shared" si="54"/>
        <v>992.66549525604921</v>
      </c>
    </row>
    <row r="121" spans="1:42" ht="14.65" thickBot="1" x14ac:dyDescent="0.5">
      <c r="A121" s="2">
        <v>0.70099999999999996</v>
      </c>
      <c r="B121" s="4">
        <f t="shared" si="55"/>
        <v>55000</v>
      </c>
      <c r="C121">
        <v>2.8828282828282799</v>
      </c>
      <c r="D121" s="5">
        <f t="shared" si="31"/>
        <v>1</v>
      </c>
      <c r="F121" s="2">
        <v>389.97</v>
      </c>
      <c r="G121" s="3">
        <v>2.8650000000000003E-4</v>
      </c>
      <c r="H121">
        <v>1.8307184962479E-2</v>
      </c>
      <c r="I121">
        <v>0.19370486586504401</v>
      </c>
      <c r="J121">
        <v>0</v>
      </c>
      <c r="K121" s="13">
        <v>968.07579999999996</v>
      </c>
      <c r="L121">
        <f t="shared" si="32"/>
        <v>2790.7962961616131</v>
      </c>
      <c r="M121">
        <f t="shared" si="33"/>
        <v>1115.7089232253884</v>
      </c>
      <c r="N121" s="2">
        <f t="shared" si="34"/>
        <v>0.75183635697622853</v>
      </c>
      <c r="O121">
        <f t="shared" si="35"/>
        <v>2.0014934752009346</v>
      </c>
      <c r="P121" s="4">
        <f t="shared" si="36"/>
        <v>9.059753850297704E-2</v>
      </c>
      <c r="Q121">
        <f t="shared" si="30"/>
        <v>2.7888450930262274</v>
      </c>
      <c r="R121">
        <f t="shared" si="29"/>
        <v>2.8050880523877476E-2</v>
      </c>
      <c r="S121" s="3">
        <f t="shared" si="28"/>
        <v>-0.33604971916155463</v>
      </c>
      <c r="T121" s="2">
        <f t="shared" si="37"/>
        <v>4.7750805690417092E-2</v>
      </c>
      <c r="U121" s="3">
        <f t="shared" si="38"/>
        <v>1.8748859067648883E-2</v>
      </c>
      <c r="V121">
        <v>2.8828282828282799</v>
      </c>
      <c r="W121" s="13">
        <f t="shared" si="39"/>
        <v>59.588828018263825</v>
      </c>
      <c r="X121" s="2">
        <f t="shared" si="40"/>
        <v>3.590512707056317</v>
      </c>
      <c r="Y121" s="3">
        <f t="shared" si="41"/>
        <v>-51.079557312556304</v>
      </c>
      <c r="Z121" s="13">
        <f t="shared" si="42"/>
        <v>2.5468646128345487</v>
      </c>
      <c r="AA121" s="2">
        <f t="shared" si="43"/>
        <v>0.39263963814984409</v>
      </c>
      <c r="AB121" s="3">
        <f t="shared" si="44"/>
        <v>0.37414517809351439</v>
      </c>
      <c r="AC121">
        <f t="shared" si="45"/>
        <v>2.1351908808328546E-2</v>
      </c>
      <c r="AD121" s="2">
        <f t="shared" si="46"/>
        <v>166300280.52598202</v>
      </c>
      <c r="AE121">
        <f t="shared" si="47"/>
        <v>10020389.564173976</v>
      </c>
      <c r="AF121" s="3">
        <f t="shared" si="48"/>
        <v>-142552639.35745695</v>
      </c>
      <c r="AG121">
        <f t="shared" si="49"/>
        <v>-156279890.96180806</v>
      </c>
      <c r="AI121" s="2">
        <f t="shared" si="50"/>
        <v>-7105.1567553256127</v>
      </c>
      <c r="AJ121" s="2">
        <f t="shared" si="51"/>
        <v>-14041.783601244895</v>
      </c>
      <c r="AK121">
        <f t="shared" si="52"/>
        <v>-308852919.883439</v>
      </c>
      <c r="AO121" s="2">
        <f t="shared" si="53"/>
        <v>1150.359680659737</v>
      </c>
      <c r="AP121" s="3">
        <f t="shared" si="54"/>
        <v>1019.9717939173725</v>
      </c>
    </row>
    <row r="122" spans="1:42" ht="14.65" thickBot="1" x14ac:dyDescent="0.5">
      <c r="A122" s="2">
        <v>0.70099999999999996</v>
      </c>
      <c r="B122" s="4">
        <f t="shared" si="55"/>
        <v>55000</v>
      </c>
      <c r="C122">
        <v>2.9121212121212099</v>
      </c>
      <c r="D122" s="5">
        <f t="shared" si="31"/>
        <v>1</v>
      </c>
      <c r="F122" s="2">
        <v>389.97</v>
      </c>
      <c r="G122" s="3">
        <v>2.8650000000000003E-4</v>
      </c>
      <c r="H122">
        <v>1.8303181686857999E-2</v>
      </c>
      <c r="I122">
        <v>0.195701434095127</v>
      </c>
      <c r="J122">
        <v>0</v>
      </c>
      <c r="K122" s="13">
        <v>968.07579999999996</v>
      </c>
      <c r="L122">
        <f t="shared" si="32"/>
        <v>2819.15407212121</v>
      </c>
      <c r="M122">
        <f t="shared" si="33"/>
        <v>1138.4979519977264</v>
      </c>
      <c r="N122" s="2">
        <f t="shared" si="34"/>
        <v>0.75183635697622853</v>
      </c>
      <c r="O122">
        <f t="shared" si="35"/>
        <v>2.027018476776123</v>
      </c>
      <c r="P122" s="4">
        <f t="shared" si="36"/>
        <v>9.059753850297704E-2</v>
      </c>
      <c r="Q122">
        <f t="shared" si="30"/>
        <v>2.9153234273408324</v>
      </c>
      <c r="R122">
        <f t="shared" si="29"/>
        <v>-8.8191468116004213E-4</v>
      </c>
      <c r="S122" s="3">
        <f t="shared" si="28"/>
        <v>-0.38864787794770767</v>
      </c>
      <c r="T122" s="2">
        <f t="shared" si="37"/>
        <v>4.6794989755156266E-2</v>
      </c>
      <c r="U122" s="3">
        <f t="shared" si="38"/>
        <v>1.8731723024850454E-2</v>
      </c>
      <c r="V122">
        <v>2.9121212121212099</v>
      </c>
      <c r="W122" s="13">
        <f t="shared" si="39"/>
        <v>60.750390520158966</v>
      </c>
      <c r="X122" s="2">
        <f t="shared" si="40"/>
        <v>-0.11288507918848539</v>
      </c>
      <c r="Y122" s="3">
        <f t="shared" si="41"/>
        <v>-59.07447744805156</v>
      </c>
      <c r="Z122" s="13">
        <f t="shared" si="42"/>
        <v>2.4981679311121385</v>
      </c>
      <c r="AA122" s="2">
        <f t="shared" si="43"/>
        <v>0.4002933459940855</v>
      </c>
      <c r="AB122" s="3">
        <f t="shared" si="44"/>
        <v>0.3807592360069994</v>
      </c>
      <c r="AC122">
        <f t="shared" si="45"/>
        <v>2.1549155869458627E-2</v>
      </c>
      <c r="AD122" s="2">
        <f t="shared" si="46"/>
        <v>171264710.81785992</v>
      </c>
      <c r="AE122">
        <f t="shared" si="47"/>
        <v>-318240.43067594385</v>
      </c>
      <c r="AF122" s="3">
        <f t="shared" si="48"/>
        <v>-166540053.65610713</v>
      </c>
      <c r="AG122">
        <f t="shared" si="49"/>
        <v>-171582951.24853584</v>
      </c>
      <c r="AI122" s="2">
        <f t="shared" si="50"/>
        <v>-7800.8997680972989</v>
      </c>
      <c r="AJ122" s="2">
        <f t="shared" si="51"/>
        <v>-15358.059117599068</v>
      </c>
      <c r="AK122">
        <f t="shared" si="52"/>
        <v>-337804764.47396708</v>
      </c>
      <c r="AO122" s="2">
        <f t="shared" si="53"/>
        <v>1184.7004552342571</v>
      </c>
      <c r="AP122" s="3">
        <f t="shared" si="54"/>
        <v>1047.6693670344573</v>
      </c>
    </row>
    <row r="123" spans="1:42" ht="14.65" thickBot="1" x14ac:dyDescent="0.5">
      <c r="A123" s="2">
        <v>0.70099999999999996</v>
      </c>
      <c r="B123" s="4">
        <f t="shared" si="55"/>
        <v>55000</v>
      </c>
      <c r="C123">
        <v>2.9414141414141399</v>
      </c>
      <c r="D123" s="5">
        <f t="shared" si="31"/>
        <v>1</v>
      </c>
      <c r="F123" s="2">
        <v>389.97</v>
      </c>
      <c r="G123" s="3">
        <v>2.8650000000000003E-4</v>
      </c>
      <c r="H123">
        <v>1.8299214853457001E-2</v>
      </c>
      <c r="I123">
        <v>0.197695888954799</v>
      </c>
      <c r="J123">
        <v>0</v>
      </c>
      <c r="K123" s="13">
        <v>968.07579999999996</v>
      </c>
      <c r="L123">
        <f t="shared" si="32"/>
        <v>2847.5118480808064</v>
      </c>
      <c r="M123">
        <f t="shared" si="33"/>
        <v>1161.5173736006016</v>
      </c>
      <c r="N123" s="2">
        <f t="shared" si="34"/>
        <v>0.75183635697622853</v>
      </c>
      <c r="O123">
        <f t="shared" si="35"/>
        <v>2.0528015313566028</v>
      </c>
      <c r="P123" s="4">
        <f t="shared" si="36"/>
        <v>9.059753850297704E-2</v>
      </c>
      <c r="Q123">
        <f t="shared" si="30"/>
        <v>3.0471872127704525</v>
      </c>
      <c r="R123">
        <f t="shared" si="29"/>
        <v>-3.2420408436793689E-2</v>
      </c>
      <c r="S123" s="3">
        <f t="shared" si="28"/>
        <v>-0.44470992338225551</v>
      </c>
      <c r="T123" s="2">
        <f t="shared" si="37"/>
        <v>4.5867587701119858E-2</v>
      </c>
      <c r="U123" s="3">
        <f t="shared" si="38"/>
        <v>1.8715134502914236E-2</v>
      </c>
      <c r="V123">
        <v>2.9414141414141399</v>
      </c>
      <c r="W123" s="13">
        <f t="shared" si="39"/>
        <v>61.923822304329342</v>
      </c>
      <c r="X123" s="2">
        <f t="shared" si="40"/>
        <v>-4.1498122799095913</v>
      </c>
      <c r="Y123" s="3">
        <f t="shared" si="41"/>
        <v>-67.595908354102832</v>
      </c>
      <c r="Z123" s="13">
        <f t="shared" si="42"/>
        <v>2.4508286432019801</v>
      </c>
      <c r="AA123" s="2">
        <f t="shared" si="43"/>
        <v>0.40802526230210501</v>
      </c>
      <c r="AB123" s="3">
        <f t="shared" si="44"/>
        <v>0.38740550474119251</v>
      </c>
      <c r="AC123">
        <f t="shared" si="45"/>
        <v>2.1746642545514026E-2</v>
      </c>
      <c r="AD123" s="2">
        <f t="shared" si="46"/>
        <v>176328817.69002831</v>
      </c>
      <c r="AE123">
        <f t="shared" si="47"/>
        <v>-11816639.634353785</v>
      </c>
      <c r="AF123" s="3">
        <f t="shared" si="48"/>
        <v>-192480149.92009217</v>
      </c>
      <c r="AG123">
        <f t="shared" si="49"/>
        <v>-188145457.32438207</v>
      </c>
      <c r="AI123" s="2">
        <f t="shared" si="50"/>
        <v>-8553.9026093820994</v>
      </c>
      <c r="AJ123" s="2">
        <f t="shared" si="51"/>
        <v>-16767.643690512308</v>
      </c>
      <c r="AK123">
        <f t="shared" si="52"/>
        <v>-368808967.61012048</v>
      </c>
      <c r="AO123" s="2">
        <f t="shared" si="53"/>
        <v>1219.7307290610306</v>
      </c>
      <c r="AP123" s="3">
        <f t="shared" si="54"/>
        <v>1075.7542856173488</v>
      </c>
    </row>
    <row r="124" spans="1:42" ht="14.65" thickBot="1" x14ac:dyDescent="0.5">
      <c r="A124" s="2">
        <v>0.70099999999999996</v>
      </c>
      <c r="B124" s="4">
        <f t="shared" si="55"/>
        <v>55000</v>
      </c>
      <c r="C124">
        <v>2.97070707070707</v>
      </c>
      <c r="D124" s="5">
        <f t="shared" si="31"/>
        <v>1</v>
      </c>
      <c r="F124" s="2">
        <v>389.97</v>
      </c>
      <c r="G124" s="3">
        <v>2.8650000000000003E-4</v>
      </c>
      <c r="H124">
        <v>1.8295283484819999E-2</v>
      </c>
      <c r="I124">
        <v>0.199688296939799</v>
      </c>
      <c r="J124">
        <v>0</v>
      </c>
      <c r="K124" s="13">
        <v>968.07579999999996</v>
      </c>
      <c r="L124">
        <f t="shared" si="32"/>
        <v>2875.8696240404033</v>
      </c>
      <c r="M124">
        <f t="shared" si="33"/>
        <v>1184.7671880340151</v>
      </c>
      <c r="N124" s="2">
        <f t="shared" si="34"/>
        <v>0.75183635697622853</v>
      </c>
      <c r="O124">
        <f t="shared" si="35"/>
        <v>2.0788426389423753</v>
      </c>
      <c r="P124" s="4">
        <f t="shared" si="36"/>
        <v>9.059753850297704E-2</v>
      </c>
      <c r="Q124">
        <f t="shared" si="30"/>
        <v>3.1846405649251488</v>
      </c>
      <c r="R124">
        <f t="shared" si="29"/>
        <v>-6.6727450362703861E-2</v>
      </c>
      <c r="S124" s="3">
        <f t="shared" si="28"/>
        <v>-0.50440661863687708</v>
      </c>
      <c r="T124" s="2">
        <f t="shared" si="37"/>
        <v>4.4967484361552408E-2</v>
      </c>
      <c r="U124" s="3">
        <f t="shared" si="38"/>
        <v>1.8699068127924993E-2</v>
      </c>
      <c r="V124">
        <v>2.97070707070707</v>
      </c>
      <c r="W124" s="13">
        <f t="shared" si="39"/>
        <v>63.109112782425342</v>
      </c>
      <c r="X124" s="2">
        <f t="shared" si="40"/>
        <v>-8.5411136464260942</v>
      </c>
      <c r="Y124" s="3">
        <f t="shared" si="41"/>
        <v>-76.669806032805312</v>
      </c>
      <c r="Z124" s="13">
        <f t="shared" si="42"/>
        <v>2.4047981457641967</v>
      </c>
      <c r="AA124" s="2">
        <f t="shared" si="43"/>
        <v>0.41583531730569429</v>
      </c>
      <c r="AB124" s="3">
        <f t="shared" si="44"/>
        <v>0.3940825419927676</v>
      </c>
      <c r="AC124">
        <f t="shared" si="45"/>
        <v>2.19443580664694E-2</v>
      </c>
      <c r="AD124" s="2">
        <f t="shared" si="46"/>
        <v>181493580.45111698</v>
      </c>
      <c r="AE124">
        <f t="shared" si="47"/>
        <v>-24563129.291233771</v>
      </c>
      <c r="AF124" s="3">
        <f t="shared" si="48"/>
        <v>-220492366.25081447</v>
      </c>
      <c r="AG124">
        <f t="shared" si="49"/>
        <v>-206056709.74235076</v>
      </c>
      <c r="AI124" s="2">
        <f t="shared" si="50"/>
        <v>-9368.225266831183</v>
      </c>
      <c r="AJ124" s="2">
        <f t="shared" si="51"/>
        <v>-18276.012013939697</v>
      </c>
      <c r="AK124">
        <f t="shared" si="52"/>
        <v>-401985946.70193148</v>
      </c>
      <c r="AO124" s="2">
        <f t="shared" si="53"/>
        <v>1255.4572763749482</v>
      </c>
      <c r="AP124" s="3">
        <f t="shared" si="54"/>
        <v>1104.2223990149287</v>
      </c>
    </row>
    <row r="125" spans="1:42" ht="14.65" thickBot="1" x14ac:dyDescent="0.5">
      <c r="A125">
        <v>0.70099999999999996</v>
      </c>
      <c r="B125" s="4">
        <f t="shared" si="55"/>
        <v>55000</v>
      </c>
      <c r="C125">
        <v>3</v>
      </c>
      <c r="D125" s="5">
        <f t="shared" si="31"/>
        <v>1</v>
      </c>
      <c r="F125" s="2">
        <v>389.97</v>
      </c>
      <c r="G125" s="3">
        <v>2.8650000000000003E-4</v>
      </c>
      <c r="H125">
        <v>1.8291386646421999E-2</v>
      </c>
      <c r="I125">
        <v>0.20167872175822399</v>
      </c>
      <c r="J125">
        <v>0</v>
      </c>
      <c r="K125" s="13">
        <v>968.07579999999996</v>
      </c>
      <c r="L125">
        <f t="shared" si="32"/>
        <v>2904.2273999999998</v>
      </c>
      <c r="M125">
        <f t="shared" si="33"/>
        <v>1208.2473952979662</v>
      </c>
      <c r="N125" s="2">
        <f t="shared" si="34"/>
        <v>0.75183635697622853</v>
      </c>
      <c r="O125">
        <f t="shared" si="35"/>
        <v>2.1051417995334396</v>
      </c>
      <c r="P125" s="4">
        <f t="shared" si="36"/>
        <v>9.059753850297704E-2</v>
      </c>
      <c r="Q125">
        <f t="shared" si="30"/>
        <v>3.3278941780432851</v>
      </c>
      <c r="R125">
        <f t="shared" si="29"/>
        <v>-0.10397391108338784</v>
      </c>
      <c r="S125" s="3">
        <f t="shared" si="28"/>
        <v>-0.5679153013617243</v>
      </c>
      <c r="T125" s="2">
        <f t="shared" si="37"/>
        <v>4.4093618746731573E-2</v>
      </c>
      <c r="U125" s="3">
        <f t="shared" si="38"/>
        <v>1.8683499939360238E-2</v>
      </c>
      <c r="V125">
        <v>3</v>
      </c>
      <c r="W125" s="13">
        <f t="shared" si="39"/>
        <v>64.306251598143248</v>
      </c>
      <c r="X125" s="2">
        <f t="shared" si="40"/>
        <v>-13.308660618673644</v>
      </c>
      <c r="Y125" s="3">
        <f t="shared" si="41"/>
        <v>-86.323125806982091</v>
      </c>
      <c r="Z125" s="13">
        <f t="shared" si="42"/>
        <v>2.3600299135517022</v>
      </c>
      <c r="AA125" s="2">
        <f t="shared" si="43"/>
        <v>0.42372344276563023</v>
      </c>
      <c r="AB125" s="3">
        <f t="shared" si="44"/>
        <v>0.40078889529493478</v>
      </c>
      <c r="AC125">
        <f t="shared" si="45"/>
        <v>2.214229216284622E-2</v>
      </c>
      <c r="AD125" s="2">
        <f t="shared" si="46"/>
        <v>186759977.88262141</v>
      </c>
      <c r="AE125">
        <f t="shared" si="47"/>
        <v>-38651376.826052949</v>
      </c>
      <c r="AF125" s="3">
        <f t="shared" si="48"/>
        <v>-250701987.2222845</v>
      </c>
      <c r="AG125">
        <f t="shared" si="49"/>
        <v>-225411354.70867437</v>
      </c>
      <c r="AI125" s="2">
        <f t="shared" si="50"/>
        <v>-10248.170764508872</v>
      </c>
      <c r="AJ125" s="2">
        <f t="shared" si="51"/>
        <v>-19888.904563689102</v>
      </c>
      <c r="AK125">
        <f t="shared" si="52"/>
        <v>-437461965.1049059</v>
      </c>
      <c r="AO125" s="2">
        <f t="shared" si="53"/>
        <v>1291.88686776452</v>
      </c>
      <c r="AP125" s="3">
        <f t="shared" si="54"/>
        <v>1133.0693393483011</v>
      </c>
    </row>
    <row r="128" spans="1:42" x14ac:dyDescent="0.45">
      <c r="AC128">
        <f>MIN(AC26:AC125)</f>
        <v>1.0778752355028455E-2</v>
      </c>
    </row>
  </sheetData>
  <mergeCells count="1">
    <mergeCell ref="AI24:AJ24"/>
  </mergeCells>
  <conditionalFormatting sqref="AB26:AB12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6:AD1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6:AE1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6:AF1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6:AJ1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6:AP12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6:AQ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5503-AD8B-4767-A51D-9B1EF40F929A}">
  <dimension ref="A23:BQ166"/>
  <sheetViews>
    <sheetView topLeftCell="AQ118" zoomScale="41" zoomScaleNormal="90" workbookViewId="0">
      <selection activeCell="BC164" sqref="BC164"/>
    </sheetView>
  </sheetViews>
  <sheetFormatPr defaultRowHeight="14.25" x14ac:dyDescent="0.45"/>
  <cols>
    <col min="1" max="4" width="9.1328125" bestFit="1" customWidth="1"/>
    <col min="6" max="6" width="9.1328125" bestFit="1" customWidth="1"/>
    <col min="7" max="7" width="12.06640625" bestFit="1" customWidth="1"/>
    <col min="8" max="10" width="9.1328125" bestFit="1" customWidth="1"/>
    <col min="11" max="11" width="12.06640625" bestFit="1" customWidth="1"/>
    <col min="12" max="22" width="9.1328125" bestFit="1" customWidth="1"/>
    <col min="23" max="23" width="15.59765625" bestFit="1" customWidth="1"/>
    <col min="24" max="24" width="20.3984375" bestFit="1" customWidth="1"/>
    <col min="25" max="25" width="19.86328125" bestFit="1" customWidth="1"/>
    <col min="26" max="26" width="11.265625" bestFit="1" customWidth="1"/>
    <col min="27" max="27" width="9.1328125" bestFit="1" customWidth="1"/>
    <col min="28" max="28" width="12.06640625" bestFit="1" customWidth="1"/>
    <col min="29" max="29" width="11.06640625" bestFit="1" customWidth="1"/>
    <col min="30" max="30" width="14.53125" bestFit="1" customWidth="1"/>
    <col min="31" max="31" width="19.265625" bestFit="1" customWidth="1"/>
    <col min="32" max="32" width="19.59765625" bestFit="1" customWidth="1"/>
    <col min="33" max="33" width="14.53125" bestFit="1" customWidth="1"/>
    <col min="34" max="34" width="4.53125" customWidth="1"/>
    <col min="35" max="35" width="13" bestFit="1" customWidth="1"/>
    <col min="36" max="36" width="15.46484375" customWidth="1"/>
    <col min="37" max="37" width="14.53125" bestFit="1" customWidth="1"/>
    <col min="38" max="38" width="10.06640625" bestFit="1" customWidth="1"/>
    <col min="39" max="39" width="11.33203125" bestFit="1" customWidth="1"/>
    <col min="41" max="41" width="10.06640625" bestFit="1" customWidth="1"/>
    <col min="42" max="42" width="13.1328125" bestFit="1" customWidth="1"/>
    <col min="43" max="43" width="10" bestFit="1" customWidth="1"/>
    <col min="44" max="44" width="9.1328125" bestFit="1" customWidth="1"/>
    <col min="45" max="45" width="26" bestFit="1" customWidth="1"/>
    <col min="46" max="46" width="31.33203125" bestFit="1" customWidth="1"/>
    <col min="47" max="47" width="9.06640625" customWidth="1"/>
    <col min="59" max="59" width="9.1328125" bestFit="1" customWidth="1"/>
    <col min="60" max="60" width="23.59765625" bestFit="1" customWidth="1"/>
    <col min="61" max="61" width="22.33203125" bestFit="1" customWidth="1"/>
  </cols>
  <sheetData>
    <row r="23" spans="1:42" ht="14.65" thickBot="1" x14ac:dyDescent="0.5">
      <c r="AB23" t="s">
        <v>32</v>
      </c>
      <c r="AN23" t="s">
        <v>40</v>
      </c>
    </row>
    <row r="24" spans="1:42" x14ac:dyDescent="0.45">
      <c r="A24" s="6" t="s">
        <v>0</v>
      </c>
      <c r="B24" s="7"/>
      <c r="C24" s="7"/>
      <c r="D24" s="8"/>
      <c r="F24" s="6" t="s">
        <v>1</v>
      </c>
      <c r="G24" s="8" t="s">
        <v>2</v>
      </c>
      <c r="H24" s="6"/>
      <c r="I24" s="7"/>
      <c r="J24" s="8"/>
      <c r="K24" s="12" t="s">
        <v>3</v>
      </c>
      <c r="L24" s="1" t="s">
        <v>4</v>
      </c>
      <c r="M24" s="1" t="s">
        <v>5</v>
      </c>
      <c r="N24" s="6"/>
      <c r="O24" s="7"/>
      <c r="P24" s="7"/>
      <c r="Q24" s="7"/>
      <c r="R24" s="7"/>
      <c r="S24" s="8"/>
      <c r="T24" s="6"/>
      <c r="U24" s="8"/>
      <c r="V24" s="1"/>
      <c r="W24" s="12"/>
      <c r="X24" s="6" t="s">
        <v>6</v>
      </c>
      <c r="Y24" s="8" t="s">
        <v>7</v>
      </c>
      <c r="Z24" s="12"/>
      <c r="AA24" s="15"/>
      <c r="AB24" s="16" t="s">
        <v>42</v>
      </c>
      <c r="AD24" s="6"/>
      <c r="AE24" s="7"/>
      <c r="AF24" s="16"/>
      <c r="AI24" s="20" t="s">
        <v>43</v>
      </c>
      <c r="AJ24" s="21"/>
      <c r="AO24" s="6" t="s">
        <v>45</v>
      </c>
      <c r="AP24" s="8" t="s">
        <v>46</v>
      </c>
    </row>
    <row r="25" spans="1:42" ht="14.65" thickBot="1" x14ac:dyDescent="0.5">
      <c r="A25" s="9" t="s">
        <v>8</v>
      </c>
      <c r="B25" s="10" t="s">
        <v>9</v>
      </c>
      <c r="C25" s="10" t="s">
        <v>10</v>
      </c>
      <c r="D25" s="11" t="s">
        <v>11</v>
      </c>
      <c r="F25" s="9" t="s">
        <v>12</v>
      </c>
      <c r="G25" s="11" t="s">
        <v>13</v>
      </c>
      <c r="H25" s="9" t="s">
        <v>14</v>
      </c>
      <c r="I25" s="10" t="s">
        <v>15</v>
      </c>
      <c r="J25" s="11" t="s">
        <v>16</v>
      </c>
      <c r="K25" s="14" t="s">
        <v>17</v>
      </c>
      <c r="L25" s="1" t="s">
        <v>18</v>
      </c>
      <c r="M25" s="1" t="s">
        <v>19</v>
      </c>
      <c r="N25" s="9" t="s">
        <v>20</v>
      </c>
      <c r="O25" s="10" t="s">
        <v>21</v>
      </c>
      <c r="P25" s="10" t="s">
        <v>22</v>
      </c>
      <c r="Q25" s="10" t="s">
        <v>23</v>
      </c>
      <c r="R25" s="10" t="s">
        <v>24</v>
      </c>
      <c r="S25" s="11" t="s">
        <v>25</v>
      </c>
      <c r="T25" s="9" t="s">
        <v>26</v>
      </c>
      <c r="U25" s="11" t="s">
        <v>27</v>
      </c>
      <c r="V25" s="1" t="str">
        <f>C25</f>
        <v>Mach</v>
      </c>
      <c r="W25" s="14" t="s">
        <v>50</v>
      </c>
      <c r="X25" s="9" t="s">
        <v>48</v>
      </c>
      <c r="Y25" s="11" t="s">
        <v>49</v>
      </c>
      <c r="Z25" s="14" t="s">
        <v>31</v>
      </c>
      <c r="AA25" s="9" t="s">
        <v>39</v>
      </c>
      <c r="AB25" s="11" t="s">
        <v>44</v>
      </c>
      <c r="AD25" s="9" t="s">
        <v>33</v>
      </c>
      <c r="AE25" s="10" t="s">
        <v>34</v>
      </c>
      <c r="AF25" s="11" t="s">
        <v>35</v>
      </c>
      <c r="AI25" s="9" t="s">
        <v>36</v>
      </c>
      <c r="AJ25" s="11" t="s">
        <v>37</v>
      </c>
      <c r="AL25" t="s">
        <v>53</v>
      </c>
      <c r="AM25" t="s">
        <v>51</v>
      </c>
      <c r="AO25" s="9" t="s">
        <v>41</v>
      </c>
      <c r="AP25" s="11" t="s">
        <v>38</v>
      </c>
    </row>
    <row r="26" spans="1:42" x14ac:dyDescent="0.45">
      <c r="A26" s="2">
        <v>0.70099999999999996</v>
      </c>
      <c r="B26">
        <v>56000</v>
      </c>
      <c r="C26">
        <v>0.1</v>
      </c>
      <c r="D26" s="3">
        <v>1</v>
      </c>
      <c r="F26" s="2">
        <v>389.97</v>
      </c>
      <c r="G26" s="3">
        <v>2.8454000000000001E-4</v>
      </c>
      <c r="H26">
        <v>1.2591192124956E-2</v>
      </c>
      <c r="I26">
        <v>0.31350851536555102</v>
      </c>
      <c r="J26">
        <v>-1.0693831438342001E-2</v>
      </c>
      <c r="K26" s="13">
        <v>968.07579999999996</v>
      </c>
      <c r="L26">
        <f>C26*K26</f>
        <v>96.807580000000002</v>
      </c>
      <c r="M26">
        <f>0.5*G26*L26^2</f>
        <v>1.333312832492082</v>
      </c>
      <c r="N26" s="2">
        <f>F26/518.69</f>
        <v>0.75183635697622853</v>
      </c>
      <c r="O26">
        <f>N26 * (1 + (1.4 - 1)/2 * C26^2)</f>
        <v>0.75334002969018099</v>
      </c>
      <c r="P26">
        <f>G26*1716*F26/2116.2</f>
        <v>8.9977743824213224E-2</v>
      </c>
      <c r="Q26">
        <f t="shared" ref="Q26:Q89" si="0">P26*(1 + (1.4 - 1)/2 *C26^2)^(1.4/0.4)</f>
        <v>9.0609164216503724E-2</v>
      </c>
      <c r="R26">
        <f>Q26*(1-0.3 *C26^1)</f>
        <v>8.7890889290008614E-2</v>
      </c>
      <c r="S26" s="3">
        <f>Q26*(1-0.1 * C26^0.5)</f>
        <v>8.7743850858419944E-2</v>
      </c>
      <c r="T26" s="2">
        <f>A26 *1/M26 * 76</f>
        <v>39.95761437353179</v>
      </c>
      <c r="U26" s="3">
        <f>H26+I26*T26^2 + J26 * T26</f>
        <v>500.13641862907224</v>
      </c>
      <c r="V26">
        <v>0.1</v>
      </c>
      <c r="W26" s="13">
        <f>M26*U26*2713/1000</f>
        <v>1809.1323213423018</v>
      </c>
      <c r="X26" s="2">
        <f>(32000 * 4)*R26/1000</f>
        <v>11.250033829121103</v>
      </c>
      <c r="Y26" s="3">
        <f>(38000 * 4)*S26/1000</f>
        <v>13.337065330479831</v>
      </c>
      <c r="Z26" s="13">
        <f>T26/U26</f>
        <v>7.9893430842448765E-2</v>
      </c>
      <c r="AA26" s="2">
        <f>1/Z26</f>
        <v>12.516673642067236</v>
      </c>
      <c r="AB26" s="3">
        <f>ATAN(AA26)</f>
        <v>1.4910722334315678</v>
      </c>
      <c r="AC26">
        <f>W26/L26</f>
        <v>18.687920112684377</v>
      </c>
      <c r="AD26" s="2">
        <f>W26*L26*1000</f>
        <v>175137721.92893058</v>
      </c>
      <c r="AE26">
        <f>X26*L26*1000</f>
        <v>1089088.5499153475</v>
      </c>
      <c r="AF26" s="3">
        <f>Y26*L26*1000</f>
        <v>1291129.0189456528</v>
      </c>
      <c r="AG26">
        <f>L26*(X26*1000 - W26*1000)</f>
        <v>-174048633.37901524</v>
      </c>
      <c r="AI26" s="2">
        <f>L26*(X26*1000 - W26*1000)/(A26*31377)</f>
        <v>-7913.000294518466</v>
      </c>
      <c r="AJ26" s="2">
        <f>L26*(Y26*1000-W26*1000)/(A26*31377)</f>
        <v>-7903.8146648475922</v>
      </c>
      <c r="AK26">
        <f>L26*(Y26*1000-W26*1000)</f>
        <v>-173846592.90998495</v>
      </c>
      <c r="AL26" s="18">
        <v>1.6689999999999999E-4</v>
      </c>
      <c r="AM26" s="18">
        <f>(L26/AL26*Z26*LN(1.43))/6076.115</f>
        <v>2.7278847912707733</v>
      </c>
      <c r="AO26" s="2">
        <f>AD26/(A26*206225)</f>
        <v>1211.4914853565831</v>
      </c>
      <c r="AP26" s="3">
        <f>L26*SIN(AB26)</f>
        <v>96.50009176386466</v>
      </c>
    </row>
    <row r="27" spans="1:42" x14ac:dyDescent="0.45">
      <c r="A27" s="2">
        <v>0.70099999999999996</v>
      </c>
      <c r="B27">
        <v>56000</v>
      </c>
      <c r="C27">
        <v>0.12929292929292899</v>
      </c>
      <c r="D27" s="3">
        <f t="shared" ref="D27:D90" si="1">D26</f>
        <v>1</v>
      </c>
      <c r="F27" s="2">
        <v>389.97</v>
      </c>
      <c r="G27" s="3">
        <v>2.8454000000000001E-4</v>
      </c>
      <c r="H27">
        <v>1.2591192124956E-2</v>
      </c>
      <c r="I27">
        <v>0.31350851536555102</v>
      </c>
      <c r="J27">
        <v>-1.0693831438342001E-2</v>
      </c>
      <c r="K27" s="13">
        <v>968.07579999999996</v>
      </c>
      <c r="L27">
        <f t="shared" ref="L27:L90" si="2">C27*K27</f>
        <v>125.16535595959566</v>
      </c>
      <c r="M27">
        <f t="shared" ref="M27:M90" si="3">0.5*G27*L27^2</f>
        <v>2.2288539381236778</v>
      </c>
      <c r="N27" s="2">
        <f t="shared" ref="N27:N90" si="4">F27/518.69</f>
        <v>0.75183635697622853</v>
      </c>
      <c r="O27">
        <f t="shared" ref="O27:O90" si="5">N27 * (1 + (1.4 - 1)/2 * C27^2)</f>
        <v>0.7543499957626173</v>
      </c>
      <c r="P27">
        <f t="shared" ref="P27:P90" si="6">G27*1716*F27/2116.2</f>
        <v>8.9977743824213224E-2</v>
      </c>
      <c r="Q27">
        <f t="shared" si="0"/>
        <v>9.1035040625572924E-2</v>
      </c>
      <c r="R27">
        <f t="shared" ref="R27:R35" si="7">Q27*(1-0.3 *C27^1)</f>
        <v>8.7503984504338592E-2</v>
      </c>
      <c r="S27" s="3">
        <f t="shared" ref="S27:S35" si="8">Q27*(1-0.1 * C27^0.5)</f>
        <v>8.7761663992554417E-2</v>
      </c>
      <c r="T27" s="2">
        <f t="shared" ref="T27:T90" si="9">A27 *1/M27 * 76</f>
        <v>23.902867338561215</v>
      </c>
      <c r="U27" s="3">
        <f t="shared" ref="U27:U90" si="10">H27+I27*T27^2 + J27 * T27</f>
        <v>178.87914869306786</v>
      </c>
      <c r="V27">
        <v>0.12929292929292899</v>
      </c>
      <c r="W27" s="13">
        <f>M27*U27*2713/1000</f>
        <v>1081.6608779696048</v>
      </c>
      <c r="X27" s="2">
        <f t="shared" ref="X27:X90" si="11">(32000 * 4)*R27/1000</f>
        <v>11.20051001655534</v>
      </c>
      <c r="Y27" s="3">
        <f t="shared" ref="Y27:Y90" si="12">(38000 * 4)*S27/1000</f>
        <v>13.339772926868271</v>
      </c>
      <c r="Z27" s="13">
        <f t="shared" ref="Z27:Z90" si="13">T27/U27</f>
        <v>0.13362578876968642</v>
      </c>
      <c r="AA27" s="2">
        <f t="shared" ref="AA27:AA90" si="14">1/Z27</f>
        <v>7.4835853857788734</v>
      </c>
      <c r="AB27" s="3">
        <f t="shared" ref="AB27:AB90" si="15">ATAN(AA27)</f>
        <v>1.4379574584703667</v>
      </c>
      <c r="AC27">
        <f t="shared" ref="AC27:AC90" si="16">W27/L27</f>
        <v>8.6418551657279128</v>
      </c>
      <c r="AD27" s="2">
        <f t="shared" ref="AD27:AD90" si="17">W27*L27*1000</f>
        <v>135386468.81863433</v>
      </c>
      <c r="AE27">
        <f t="shared" ref="AE27:AE90" si="18">X27*L27*1000</f>
        <v>1401915.8231511659</v>
      </c>
      <c r="AF27" s="3">
        <f t="shared" ref="AF27:AF90" si="19">Y27*L27*1000</f>
        <v>1669677.4268116443</v>
      </c>
      <c r="AG27">
        <f t="shared" ref="AG27:AG90" si="20">L27*(X27*1000 - W27*1000)</f>
        <v>-133984552.99548319</v>
      </c>
      <c r="AI27" s="2">
        <f t="shared" ref="AI27:AI90" si="21">L27*(X27*1000 - W27*1000)/(A27*31377)</f>
        <v>-6091.51469178966</v>
      </c>
      <c r="AJ27" s="2">
        <f t="shared" ref="AJ27:AJ90" si="22">L27*(Y27*1000-W27*1000)/(A27*31377)</f>
        <v>-6079.3410963554916</v>
      </c>
      <c r="AK27">
        <f t="shared" ref="AK27:AK90" si="23">L27*(Y27*1000-W27*1000)</f>
        <v>-133716791.39182273</v>
      </c>
      <c r="AL27" s="18">
        <v>1.6689999999999999E-4</v>
      </c>
      <c r="AM27" s="18">
        <f t="shared" ref="AM27:AM90" si="24">(L27/AL27*Z27*LN(1.43))/6076.115</f>
        <v>5.8990219204374883</v>
      </c>
      <c r="AO27" s="2">
        <f t="shared" ref="AO27:AO90" si="25">AD27/(A27*206225)</f>
        <v>936.51757256970484</v>
      </c>
      <c r="AP27" s="3">
        <f t="shared" ref="AP27:AP90" si="26">L27*SIN(AB27)</f>
        <v>124.06263470021139</v>
      </c>
    </row>
    <row r="28" spans="1:42" x14ac:dyDescent="0.45">
      <c r="A28" s="2">
        <v>0.70099999999999996</v>
      </c>
      <c r="B28">
        <v>56000</v>
      </c>
      <c r="C28">
        <v>0.158585858585859</v>
      </c>
      <c r="D28" s="3">
        <f t="shared" si="1"/>
        <v>1</v>
      </c>
      <c r="F28" s="2">
        <v>389.97</v>
      </c>
      <c r="G28" s="3">
        <v>2.8454000000000001E-4</v>
      </c>
      <c r="H28">
        <v>1.2591192124956E-2</v>
      </c>
      <c r="I28">
        <v>0.31350851536555102</v>
      </c>
      <c r="J28">
        <v>-1.0693831438342001E-2</v>
      </c>
      <c r="K28" s="13">
        <v>968.07579999999996</v>
      </c>
      <c r="L28">
        <f t="shared" si="2"/>
        <v>153.52313191919231</v>
      </c>
      <c r="M28">
        <f t="shared" si="3"/>
        <v>3.3532117139166919</v>
      </c>
      <c r="N28" s="2">
        <f t="shared" si="4"/>
        <v>0.75183635697622853</v>
      </c>
      <c r="O28">
        <f t="shared" si="5"/>
        <v>0.75561801484034596</v>
      </c>
      <c r="P28">
        <f t="shared" si="6"/>
        <v>8.9977743824213224E-2</v>
      </c>
      <c r="Q28">
        <f t="shared" si="0"/>
        <v>9.1571753321275443E-2</v>
      </c>
      <c r="R28">
        <f t="shared" si="7"/>
        <v>8.7215157784475361E-2</v>
      </c>
      <c r="S28" s="3">
        <f t="shared" si="8"/>
        <v>8.7925106040020934E-2</v>
      </c>
      <c r="T28" s="2">
        <f t="shared" si="9"/>
        <v>15.888051380379855</v>
      </c>
      <c r="U28" s="3">
        <f t="shared" si="10"/>
        <v>78.981696968672395</v>
      </c>
      <c r="V28">
        <v>0.158585858585859</v>
      </c>
      <c r="W28" s="13">
        <f t="shared" ref="W28:W91" si="27">M28*U28*2713/1000</f>
        <v>718.51729951198581</v>
      </c>
      <c r="X28" s="2">
        <f t="shared" si="11"/>
        <v>11.163540196412846</v>
      </c>
      <c r="Y28" s="3">
        <f t="shared" si="12"/>
        <v>13.364616118083182</v>
      </c>
      <c r="Z28" s="13">
        <f t="shared" si="13"/>
        <v>0.2011611802501756</v>
      </c>
      <c r="AA28" s="2">
        <f t="shared" si="14"/>
        <v>4.9711380632999997</v>
      </c>
      <c r="AB28" s="3">
        <f t="shared" si="15"/>
        <v>1.3722844972048227</v>
      </c>
      <c r="AC28">
        <f t="shared" si="16"/>
        <v>4.6801891710376333</v>
      </c>
      <c r="AD28" s="2">
        <f t="shared" si="17"/>
        <v>110309026.15920042</v>
      </c>
      <c r="AE28">
        <f t="shared" si="18"/>
        <v>1713861.6542590952</v>
      </c>
      <c r="AF28" s="3">
        <f t="shared" si="19"/>
        <v>2051777.7233458483</v>
      </c>
      <c r="AG28">
        <f t="shared" si="20"/>
        <v>-108595164.50494133</v>
      </c>
      <c r="AI28" s="2">
        <f t="shared" si="21"/>
        <v>-4937.2037690155639</v>
      </c>
      <c r="AJ28" s="2">
        <f t="shared" si="22"/>
        <v>-4921.8406495110103</v>
      </c>
      <c r="AK28">
        <f t="shared" si="23"/>
        <v>-108257248.43585457</v>
      </c>
      <c r="AL28" s="18">
        <v>1.6689999999999999E-4</v>
      </c>
      <c r="AM28" s="18">
        <f t="shared" si="24"/>
        <v>10.892400113086154</v>
      </c>
      <c r="AO28" s="2">
        <f t="shared" si="25"/>
        <v>763.04775737620503</v>
      </c>
      <c r="AP28" s="3">
        <f t="shared" si="26"/>
        <v>150.5081135917068</v>
      </c>
    </row>
    <row r="29" spans="1:42" x14ac:dyDescent="0.45">
      <c r="A29" s="2">
        <v>0.70099999999999996</v>
      </c>
      <c r="B29">
        <v>56000</v>
      </c>
      <c r="C29">
        <v>0.18787878787878801</v>
      </c>
      <c r="D29" s="3">
        <f t="shared" si="1"/>
        <v>1</v>
      </c>
      <c r="F29" s="2">
        <v>389.97</v>
      </c>
      <c r="G29" s="3">
        <v>2.8454000000000001E-4</v>
      </c>
      <c r="H29">
        <v>1.2591192124956E-2</v>
      </c>
      <c r="I29">
        <v>0.31350851536555102</v>
      </c>
      <c r="J29">
        <v>-1.0693831438342001E-2</v>
      </c>
      <c r="K29" s="13">
        <v>968.07579999999996</v>
      </c>
      <c r="L29">
        <f t="shared" si="2"/>
        <v>181.88090787878801</v>
      </c>
      <c r="M29">
        <f t="shared" si="3"/>
        <v>4.7063861598710472</v>
      </c>
      <c r="N29" s="2">
        <f t="shared" si="4"/>
        <v>0.75183635697622853</v>
      </c>
      <c r="O29">
        <f t="shared" si="5"/>
        <v>0.75714408692336643</v>
      </c>
      <c r="P29">
        <f t="shared" si="6"/>
        <v>8.9977743824213224E-2</v>
      </c>
      <c r="Q29">
        <f t="shared" si="0"/>
        <v>9.2220684194392138E-2</v>
      </c>
      <c r="R29">
        <f t="shared" si="7"/>
        <v>8.7022791085253667E-2</v>
      </c>
      <c r="S29" s="3">
        <f t="shared" si="8"/>
        <v>8.8223379857325021E-2</v>
      </c>
      <c r="T29" s="2">
        <f t="shared" si="9"/>
        <v>11.319938099057248</v>
      </c>
      <c r="U29" s="3">
        <f t="shared" si="10"/>
        <v>40.06483190023998</v>
      </c>
      <c r="V29">
        <v>0.18787878787878801</v>
      </c>
      <c r="W29" s="13">
        <f t="shared" si="27"/>
        <v>511.56482736728066</v>
      </c>
      <c r="X29" s="2">
        <f t="shared" si="11"/>
        <v>11.138917258912469</v>
      </c>
      <c r="Y29" s="3">
        <f t="shared" si="12"/>
        <v>13.409953738313403</v>
      </c>
      <c r="Z29" s="13">
        <f t="shared" si="13"/>
        <v>0.28254051152001575</v>
      </c>
      <c r="AA29" s="2">
        <f t="shared" si="14"/>
        <v>3.5393154582335282</v>
      </c>
      <c r="AB29" s="3">
        <f t="shared" si="15"/>
        <v>1.2954333654174726</v>
      </c>
      <c r="AC29">
        <f t="shared" si="16"/>
        <v>2.8126362097785762</v>
      </c>
      <c r="AD29" s="2">
        <f t="shared" si="17"/>
        <v>93043875.240416467</v>
      </c>
      <c r="AE29">
        <f t="shared" si="18"/>
        <v>2025956.3838377008</v>
      </c>
      <c r="AF29" s="3">
        <f t="shared" si="19"/>
        <v>2439014.560536989</v>
      </c>
      <c r="AG29">
        <f t="shared" si="20"/>
        <v>-91017918.856578767</v>
      </c>
      <c r="AI29" s="2">
        <f t="shared" si="21"/>
        <v>-4138.0664974839265</v>
      </c>
      <c r="AJ29" s="2">
        <f t="shared" si="22"/>
        <v>-4119.2870942193395</v>
      </c>
      <c r="AK29">
        <f t="shared" si="23"/>
        <v>-90604860.679879472</v>
      </c>
      <c r="AL29" s="18">
        <v>1.6689999999999999E-4</v>
      </c>
      <c r="AM29" s="18">
        <f t="shared" si="24"/>
        <v>18.124808632783754</v>
      </c>
      <c r="AO29" s="2">
        <f t="shared" si="25"/>
        <v>643.61841285160904</v>
      </c>
      <c r="AP29" s="3">
        <f t="shared" si="26"/>
        <v>175.0288308067197</v>
      </c>
    </row>
    <row r="30" spans="1:42" x14ac:dyDescent="0.45">
      <c r="A30" s="2">
        <v>0.70099999999999996</v>
      </c>
      <c r="B30">
        <v>56000</v>
      </c>
      <c r="C30">
        <v>0.21717171717171699</v>
      </c>
      <c r="D30" s="3">
        <f t="shared" si="1"/>
        <v>1</v>
      </c>
      <c r="F30" s="2">
        <v>389.97</v>
      </c>
      <c r="G30" s="3">
        <v>2.8454000000000001E-4</v>
      </c>
      <c r="H30">
        <v>1.2591192124956E-2</v>
      </c>
      <c r="I30">
        <v>0.31350851536555102</v>
      </c>
      <c r="J30">
        <v>-1.0693831438342001E-2</v>
      </c>
      <c r="K30" s="13">
        <v>968.07579999999996</v>
      </c>
      <c r="L30">
        <f t="shared" si="2"/>
        <v>210.23868383838365</v>
      </c>
      <c r="M30">
        <f t="shared" si="3"/>
        <v>6.2883772759867753</v>
      </c>
      <c r="N30" s="2">
        <f t="shared" si="4"/>
        <v>0.75183635697622853</v>
      </c>
      <c r="O30">
        <f t="shared" si="5"/>
        <v>0.75892821201167926</v>
      </c>
      <c r="P30">
        <f t="shared" si="6"/>
        <v>8.9977743824213224E-2</v>
      </c>
      <c r="Q30">
        <f t="shared" si="0"/>
        <v>9.2983504034988423E-2</v>
      </c>
      <c r="R30">
        <f t="shared" si="7"/>
        <v>8.6925487863011908E-2</v>
      </c>
      <c r="S30" s="3">
        <f t="shared" si="8"/>
        <v>8.8650315943175018E-2</v>
      </c>
      <c r="T30" s="2">
        <f t="shared" si="9"/>
        <v>8.4721379875605347</v>
      </c>
      <c r="U30" s="3">
        <f t="shared" si="10"/>
        <v>22.424730557159798</v>
      </c>
      <c r="V30">
        <v>0.21717171717171699</v>
      </c>
      <c r="W30" s="13">
        <f t="shared" si="27"/>
        <v>382.57414550930378</v>
      </c>
      <c r="X30" s="2">
        <f t="shared" si="11"/>
        <v>11.126462446465524</v>
      </c>
      <c r="Y30" s="3">
        <f t="shared" si="12"/>
        <v>13.474848023362604</v>
      </c>
      <c r="Z30" s="13">
        <f t="shared" si="13"/>
        <v>0.37780333484789808</v>
      </c>
      <c r="AA30" s="2">
        <f t="shared" si="14"/>
        <v>2.6468797592869198</v>
      </c>
      <c r="AB30" s="3">
        <f t="shared" si="15"/>
        <v>1.2095702062926916</v>
      </c>
      <c r="AC30">
        <f t="shared" si="16"/>
        <v>1.8197133777882628</v>
      </c>
      <c r="AD30" s="2">
        <f t="shared" si="17"/>
        <v>80431884.822470292</v>
      </c>
      <c r="AE30">
        <f t="shared" si="18"/>
        <v>2339212.8205221137</v>
      </c>
      <c r="AF30" s="3">
        <f t="shared" si="19"/>
        <v>2832934.3133539991</v>
      </c>
      <c r="AG30">
        <f t="shared" si="20"/>
        <v>-78092672.001948193</v>
      </c>
      <c r="AI30" s="2">
        <f t="shared" si="21"/>
        <v>-3550.4291217586483</v>
      </c>
      <c r="AJ30" s="2">
        <f t="shared" si="22"/>
        <v>-3527.9824168214072</v>
      </c>
      <c r="AK30">
        <f t="shared" si="23"/>
        <v>-77598950.509116307</v>
      </c>
      <c r="AL30" s="18">
        <v>1.6689999999999999E-4</v>
      </c>
      <c r="AM30" s="18">
        <f t="shared" si="24"/>
        <v>28.014572887206981</v>
      </c>
      <c r="AO30" s="2">
        <f t="shared" si="25"/>
        <v>556.37667625450513</v>
      </c>
      <c r="AP30" s="3">
        <f t="shared" si="26"/>
        <v>196.67076000493813</v>
      </c>
    </row>
    <row r="31" spans="1:42" x14ac:dyDescent="0.45">
      <c r="A31" s="2">
        <v>0.70099999999999996</v>
      </c>
      <c r="B31">
        <v>56000</v>
      </c>
      <c r="C31">
        <v>0.246464646464646</v>
      </c>
      <c r="D31" s="3">
        <f t="shared" si="1"/>
        <v>1</v>
      </c>
      <c r="F31" s="2">
        <v>389.97</v>
      </c>
      <c r="G31" s="3">
        <v>2.8454000000000001E-4</v>
      </c>
      <c r="H31">
        <v>1.2591192124956E-2</v>
      </c>
      <c r="I31">
        <v>0.31350851536555102</v>
      </c>
      <c r="J31">
        <v>-1.0693831438342001E-2</v>
      </c>
      <c r="K31" s="13">
        <v>968.07579999999996</v>
      </c>
      <c r="L31">
        <f t="shared" si="2"/>
        <v>238.59645979797935</v>
      </c>
      <c r="M31">
        <f t="shared" si="3"/>
        <v>8.0991850622638815</v>
      </c>
      <c r="N31" s="2">
        <f t="shared" si="4"/>
        <v>0.75183635697622853</v>
      </c>
      <c r="O31">
        <f t="shared" si="5"/>
        <v>0.760970390105284</v>
      </c>
      <c r="P31">
        <f t="shared" si="6"/>
        <v>8.9977743824213224E-2</v>
      </c>
      <c r="Q31">
        <f t="shared" si="0"/>
        <v>9.3862176798973282E-2</v>
      </c>
      <c r="R31">
        <f t="shared" si="7"/>
        <v>8.6922064332624976E-2</v>
      </c>
      <c r="S31" s="3">
        <f t="shared" si="8"/>
        <v>8.9202369709542997E-2</v>
      </c>
      <c r="T31" s="2">
        <f t="shared" si="9"/>
        <v>6.5779457550891314</v>
      </c>
      <c r="U31" s="3">
        <f t="shared" si="10"/>
        <v>13.50756381040185</v>
      </c>
      <c r="V31">
        <v>0.246464646464646</v>
      </c>
      <c r="W31" s="13">
        <f t="shared" si="27"/>
        <v>296.80290277764385</v>
      </c>
      <c r="X31" s="2">
        <f t="shared" si="11"/>
        <v>11.126024234575997</v>
      </c>
      <c r="Y31" s="3">
        <f t="shared" si="12"/>
        <v>13.558760195850535</v>
      </c>
      <c r="Z31" s="13">
        <f t="shared" si="13"/>
        <v>0.48698239352558997</v>
      </c>
      <c r="AA31" s="2">
        <f t="shared" si="14"/>
        <v>2.0534623290183736</v>
      </c>
      <c r="AB31" s="3">
        <f t="shared" si="15"/>
        <v>1.1176169309989106</v>
      </c>
      <c r="AC31">
        <f t="shared" si="16"/>
        <v>1.243953506388771</v>
      </c>
      <c r="AD31" s="2">
        <f t="shared" si="17"/>
        <v>70816121.860509679</v>
      </c>
      <c r="AE31">
        <f t="shared" si="18"/>
        <v>2654629.9939963561</v>
      </c>
      <c r="AF31" s="3">
        <f t="shared" si="19"/>
        <v>3235072.1819796949</v>
      </c>
      <c r="AG31">
        <f t="shared" si="20"/>
        <v>-68161491.866513327</v>
      </c>
      <c r="AI31" s="2">
        <f t="shared" si="21"/>
        <v>-3098.9149109835412</v>
      </c>
      <c r="AJ31" s="2">
        <f t="shared" si="22"/>
        <v>-3072.5255098414991</v>
      </c>
      <c r="AK31">
        <f t="shared" si="23"/>
        <v>-67581049.678529993</v>
      </c>
      <c r="AL31" s="18">
        <v>1.6689999999999999E-4</v>
      </c>
      <c r="AM31" s="18">
        <f t="shared" si="24"/>
        <v>40.981027662253048</v>
      </c>
      <c r="AO31" s="2">
        <f t="shared" si="25"/>
        <v>489.86093752433186</v>
      </c>
      <c r="AP31" s="3">
        <f t="shared" si="26"/>
        <v>214.51244390735116</v>
      </c>
    </row>
    <row r="32" spans="1:42" x14ac:dyDescent="0.45">
      <c r="A32" s="2">
        <v>0.70099999999999996</v>
      </c>
      <c r="B32">
        <v>56000</v>
      </c>
      <c r="C32">
        <v>0.27575757575757598</v>
      </c>
      <c r="D32" s="3">
        <f t="shared" si="1"/>
        <v>1</v>
      </c>
      <c r="F32" s="2">
        <v>389.97</v>
      </c>
      <c r="G32" s="3">
        <v>2.8454000000000001E-4</v>
      </c>
      <c r="H32">
        <v>1.2591192124956E-2</v>
      </c>
      <c r="I32">
        <v>0.31350851536555102</v>
      </c>
      <c r="J32">
        <v>-1.0693831438342001E-2</v>
      </c>
      <c r="K32" s="13">
        <v>968.07579999999996</v>
      </c>
      <c r="L32">
        <f t="shared" si="2"/>
        <v>266.95423575757599</v>
      </c>
      <c r="M32">
        <f t="shared" si="3"/>
        <v>10.138809518702434</v>
      </c>
      <c r="N32" s="2">
        <f t="shared" si="4"/>
        <v>0.75183635697622853</v>
      </c>
      <c r="O32">
        <f t="shared" si="5"/>
        <v>0.76327062120418099</v>
      </c>
      <c r="P32">
        <f t="shared" si="6"/>
        <v>8.9977743824213224E-2</v>
      </c>
      <c r="Q32">
        <f t="shared" si="0"/>
        <v>9.4858964608752955E-2</v>
      </c>
      <c r="R32">
        <f t="shared" si="7"/>
        <v>8.701154117293794E-2</v>
      </c>
      <c r="S32" s="3">
        <f t="shared" si="8"/>
        <v>8.9877671396584466E-2</v>
      </c>
      <c r="T32" s="2">
        <f t="shared" si="9"/>
        <v>5.2546603130993894</v>
      </c>
      <c r="U32" s="3">
        <f t="shared" si="10"/>
        <v>8.6128250065040639</v>
      </c>
      <c r="V32">
        <v>0.27575757575757598</v>
      </c>
      <c r="W32" s="13">
        <f t="shared" si="27"/>
        <v>236.90944812699198</v>
      </c>
      <c r="X32" s="2">
        <f t="shared" si="11"/>
        <v>11.137477270136056</v>
      </c>
      <c r="Y32" s="3">
        <f t="shared" si="12"/>
        <v>13.661406052280839</v>
      </c>
      <c r="Z32" s="13">
        <f t="shared" si="13"/>
        <v>0.61009718752340591</v>
      </c>
      <c r="AA32" s="2">
        <f t="shared" si="14"/>
        <v>1.6390831173297873</v>
      </c>
      <c r="AB32" s="3">
        <f t="shared" si="15"/>
        <v>1.022985484914692</v>
      </c>
      <c r="AC32">
        <f t="shared" si="16"/>
        <v>0.88745341483224116</v>
      </c>
      <c r="AD32" s="2">
        <f t="shared" si="17"/>
        <v>63243980.668490238</v>
      </c>
      <c r="AE32">
        <f t="shared" si="18"/>
        <v>2973196.7329165447</v>
      </c>
      <c r="AF32" s="3">
        <f t="shared" si="19"/>
        <v>3646970.2120605544</v>
      </c>
      <c r="AG32">
        <f t="shared" si="20"/>
        <v>-60270783.93557369</v>
      </c>
      <c r="AI32" s="2">
        <f t="shared" si="21"/>
        <v>-2740.1693525193473</v>
      </c>
      <c r="AJ32" s="2">
        <f t="shared" si="22"/>
        <v>-2709.5367090139252</v>
      </c>
      <c r="AK32">
        <f t="shared" si="23"/>
        <v>-59597010.456429683</v>
      </c>
      <c r="AL32" s="18">
        <v>1.6689999999999999E-4</v>
      </c>
      <c r="AM32" s="18">
        <f t="shared" si="24"/>
        <v>57.443570787894927</v>
      </c>
      <c r="AO32" s="2">
        <f t="shared" si="25"/>
        <v>437.48167576956286</v>
      </c>
      <c r="AP32" s="3">
        <f t="shared" si="26"/>
        <v>227.88994771363775</v>
      </c>
    </row>
    <row r="33" spans="1:42" x14ac:dyDescent="0.45">
      <c r="A33" s="2">
        <v>0.70099999999999996</v>
      </c>
      <c r="B33">
        <v>56000</v>
      </c>
      <c r="C33">
        <v>0.30505050505050502</v>
      </c>
      <c r="D33" s="3">
        <f t="shared" si="1"/>
        <v>1</v>
      </c>
      <c r="F33" s="2">
        <v>389.97</v>
      </c>
      <c r="G33" s="3">
        <v>2.8454000000000001E-4</v>
      </c>
      <c r="H33">
        <v>1.2591192124956E-2</v>
      </c>
      <c r="I33">
        <v>0.31350851536555102</v>
      </c>
      <c r="J33">
        <v>-1.0693831438342001E-2</v>
      </c>
      <c r="K33" s="13">
        <v>968.07579999999996</v>
      </c>
      <c r="L33">
        <f t="shared" si="2"/>
        <v>295.31201171717169</v>
      </c>
      <c r="M33">
        <f t="shared" si="3"/>
        <v>12.407250645302298</v>
      </c>
      <c r="N33" s="2">
        <f t="shared" si="4"/>
        <v>0.75183635697622853</v>
      </c>
      <c r="O33">
        <f t="shared" si="5"/>
        <v>0.76582890530837011</v>
      </c>
      <c r="P33">
        <f t="shared" si="6"/>
        <v>8.9977743824213224E-2</v>
      </c>
      <c r="Q33">
        <f t="shared" si="0"/>
        <v>9.5976433493851349E-2</v>
      </c>
      <c r="R33">
        <f t="shared" si="7"/>
        <v>8.7193135640777672E-2</v>
      </c>
      <c r="S33" s="3">
        <f t="shared" si="8"/>
        <v>9.0675522873174277E-2</v>
      </c>
      <c r="T33" s="2">
        <f t="shared" si="9"/>
        <v>4.2939408192073278</v>
      </c>
      <c r="U33" s="3">
        <f t="shared" si="10"/>
        <v>5.7471198708940179</v>
      </c>
      <c r="V33">
        <v>0.30505050505050502</v>
      </c>
      <c r="W33" s="13">
        <f t="shared" si="27"/>
        <v>193.45306059975269</v>
      </c>
      <c r="X33" s="2">
        <f t="shared" si="11"/>
        <v>11.160721362019542</v>
      </c>
      <c r="Y33" s="3">
        <f t="shared" si="12"/>
        <v>13.782679476722491</v>
      </c>
      <c r="Z33" s="13">
        <f t="shared" si="13"/>
        <v>0.74714655613044756</v>
      </c>
      <c r="AA33" s="2">
        <f t="shared" si="14"/>
        <v>1.338425496035353</v>
      </c>
      <c r="AB33" s="3">
        <f t="shared" si="15"/>
        <v>0.9291239247361841</v>
      </c>
      <c r="AC33">
        <f t="shared" si="16"/>
        <v>0.65508023014325578</v>
      </c>
      <c r="AD33" s="2">
        <f t="shared" si="17"/>
        <v>57129012.49855689</v>
      </c>
      <c r="AE33">
        <f t="shared" si="18"/>
        <v>3295895.0776328035</v>
      </c>
      <c r="AF33" s="3">
        <f t="shared" si="19"/>
        <v>4070190.8031238941</v>
      </c>
      <c r="AG33">
        <f t="shared" si="20"/>
        <v>-53833117.42092409</v>
      </c>
      <c r="AI33" s="2">
        <f t="shared" si="21"/>
        <v>-2447.4853133663237</v>
      </c>
      <c r="AJ33" s="2">
        <f t="shared" si="22"/>
        <v>-2412.2824957118296</v>
      </c>
      <c r="AK33">
        <f t="shared" si="23"/>
        <v>-53058821.695432998</v>
      </c>
      <c r="AL33" s="18">
        <v>1.6689999999999999E-4</v>
      </c>
      <c r="AM33" s="18">
        <f t="shared" si="24"/>
        <v>77.820228286734746</v>
      </c>
      <c r="AO33" s="2">
        <f t="shared" si="25"/>
        <v>395.18221115675385</v>
      </c>
      <c r="AP33" s="3">
        <f t="shared" si="26"/>
        <v>236.57323760279584</v>
      </c>
    </row>
    <row r="34" spans="1:42" x14ac:dyDescent="0.45">
      <c r="A34" s="2">
        <v>0.70099999999999996</v>
      </c>
      <c r="B34">
        <v>56000</v>
      </c>
      <c r="C34">
        <v>0.334343434343434</v>
      </c>
      <c r="D34" s="3">
        <f t="shared" si="1"/>
        <v>1</v>
      </c>
      <c r="F34" s="2">
        <v>389.97</v>
      </c>
      <c r="G34" s="3">
        <v>2.8454000000000001E-4</v>
      </c>
      <c r="H34">
        <v>1.2591192124956E-2</v>
      </c>
      <c r="I34">
        <v>0.31350851536555102</v>
      </c>
      <c r="J34">
        <v>-1.0693831438342001E-2</v>
      </c>
      <c r="K34" s="13">
        <v>968.07579999999996</v>
      </c>
      <c r="L34">
        <f t="shared" si="2"/>
        <v>323.66978767676733</v>
      </c>
      <c r="M34">
        <f t="shared" si="3"/>
        <v>14.904508442063532</v>
      </c>
      <c r="N34" s="2">
        <f t="shared" si="4"/>
        <v>0.75183635697622853</v>
      </c>
      <c r="O34">
        <f t="shared" si="5"/>
        <v>0.76864524241785126</v>
      </c>
      <c r="P34">
        <f t="shared" si="6"/>
        <v>8.9977743824213224E-2</v>
      </c>
      <c r="Q34">
        <f t="shared" si="0"/>
        <v>9.7217459878197243E-2</v>
      </c>
      <c r="R34">
        <f t="shared" si="7"/>
        <v>8.7466254054050799E-2</v>
      </c>
      <c r="S34" s="3">
        <f t="shared" si="8"/>
        <v>9.1596109325844777E-2</v>
      </c>
      <c r="T34" s="2">
        <f t="shared" si="9"/>
        <v>3.574488900931772</v>
      </c>
      <c r="U34" s="3">
        <f t="shared" si="10"/>
        <v>3.9800553889723083</v>
      </c>
      <c r="V34">
        <v>0.334343434343434</v>
      </c>
      <c r="W34" s="13">
        <f t="shared" si="27"/>
        <v>160.93724668989182</v>
      </c>
      <c r="X34" s="2">
        <f t="shared" si="11"/>
        <v>11.195680518918502</v>
      </c>
      <c r="Y34" s="3">
        <f t="shared" si="12"/>
        <v>13.922608617528406</v>
      </c>
      <c r="Z34" s="13">
        <f t="shared" si="13"/>
        <v>0.89810029047227458</v>
      </c>
      <c r="AA34" s="2">
        <f t="shared" si="14"/>
        <v>1.1134613924622387</v>
      </c>
      <c r="AB34" s="3">
        <f t="shared" si="15"/>
        <v>0.83903178025904235</v>
      </c>
      <c r="AC34">
        <f t="shared" si="16"/>
        <v>0.49722665759156898</v>
      </c>
      <c r="AD34" s="2">
        <f t="shared" si="17"/>
        <v>52090524.465400815</v>
      </c>
      <c r="AE34">
        <f t="shared" si="18"/>
        <v>3623703.5364552718</v>
      </c>
      <c r="AF34" s="3">
        <f t="shared" si="19"/>
        <v>4506327.77514215</v>
      </c>
      <c r="AG34">
        <f t="shared" si="20"/>
        <v>-48466820.928945541</v>
      </c>
      <c r="AI34" s="2">
        <f t="shared" si="21"/>
        <v>-2203.5103685643762</v>
      </c>
      <c r="AJ34" s="2">
        <f t="shared" si="22"/>
        <v>-2163.3824702575312</v>
      </c>
      <c r="AK34">
        <f t="shared" si="23"/>
        <v>-47584196.690258659</v>
      </c>
      <c r="AL34" s="18">
        <v>1.6689999999999999E-4</v>
      </c>
      <c r="AM34" s="18">
        <f t="shared" si="24"/>
        <v>102.52566365367633</v>
      </c>
      <c r="AO34" s="2">
        <f t="shared" si="25"/>
        <v>360.32915218116318</v>
      </c>
      <c r="AP34" s="3">
        <f t="shared" si="26"/>
        <v>240.80919577551609</v>
      </c>
    </row>
    <row r="35" spans="1:42" x14ac:dyDescent="0.45">
      <c r="A35" s="2">
        <v>0.70099999999999996</v>
      </c>
      <c r="B35">
        <v>56000</v>
      </c>
      <c r="C35">
        <v>0.36363636363636398</v>
      </c>
      <c r="D35" s="3">
        <f t="shared" si="1"/>
        <v>1</v>
      </c>
      <c r="F35" s="2">
        <v>389.97</v>
      </c>
      <c r="G35" s="3">
        <v>2.8454000000000001E-4</v>
      </c>
      <c r="H35">
        <v>1.2591192124956E-2</v>
      </c>
      <c r="I35">
        <v>0.31350851536555102</v>
      </c>
      <c r="J35">
        <v>-1.0693831438342001E-2</v>
      </c>
      <c r="K35" s="13">
        <v>968.07579999999996</v>
      </c>
      <c r="L35">
        <f t="shared" si="2"/>
        <v>352.02756363636394</v>
      </c>
      <c r="M35">
        <f t="shared" si="3"/>
        <v>17.630582908986238</v>
      </c>
      <c r="N35" s="2">
        <f t="shared" si="4"/>
        <v>0.75183635697622853</v>
      </c>
      <c r="O35">
        <f t="shared" si="5"/>
        <v>0.77171963253262477</v>
      </c>
      <c r="P35">
        <f t="shared" si="6"/>
        <v>8.9977743824213224E-2</v>
      </c>
      <c r="Q35">
        <f t="shared" si="0"/>
        <v>9.8585237821591523E-2</v>
      </c>
      <c r="R35">
        <f t="shared" si="7"/>
        <v>8.7830484604690617E-2</v>
      </c>
      <c r="S35" s="3">
        <f t="shared" si="8"/>
        <v>9.2640324299370191E-2</v>
      </c>
      <c r="T35" s="2">
        <f t="shared" si="9"/>
        <v>3.0217945869983365</v>
      </c>
      <c r="U35" s="3">
        <f t="shared" si="10"/>
        <v>2.8429989179432478</v>
      </c>
      <c r="V35">
        <v>0.36363636363636398</v>
      </c>
      <c r="W35" s="13">
        <f t="shared" si="27"/>
        <v>135.98567442471125</v>
      </c>
      <c r="X35" s="2">
        <f t="shared" si="11"/>
        <v>11.242302029400399</v>
      </c>
      <c r="Y35" s="3">
        <f t="shared" si="12"/>
        <v>14.081329293504268</v>
      </c>
      <c r="Z35" s="13">
        <f t="shared" si="13"/>
        <v>1.0628898125590696</v>
      </c>
      <c r="AA35" s="2">
        <f t="shared" si="14"/>
        <v>0.94083129613628269</v>
      </c>
      <c r="AB35" s="3">
        <f t="shared" si="15"/>
        <v>0.75492133448164322</v>
      </c>
      <c r="AC35">
        <f t="shared" si="16"/>
        <v>0.38629268975420689</v>
      </c>
      <c r="AD35" s="2">
        <f t="shared" si="17"/>
        <v>47870705.657178909</v>
      </c>
      <c r="AE35">
        <f t="shared" si="18"/>
        <v>3957600.1930739726</v>
      </c>
      <c r="AF35" s="3">
        <f t="shared" si="19"/>
        <v>4957016.0439536693</v>
      </c>
      <c r="AG35">
        <f t="shared" si="20"/>
        <v>-43913105.464104936</v>
      </c>
      <c r="AI35" s="2">
        <f t="shared" si="21"/>
        <v>-1996.478856079191</v>
      </c>
      <c r="AJ35" s="2">
        <f t="shared" si="22"/>
        <v>-1951.0411081990571</v>
      </c>
      <c r="AK35">
        <f t="shared" si="23"/>
        <v>-42913689.613225229</v>
      </c>
      <c r="AL35" s="18">
        <v>1.6689999999999999E-4</v>
      </c>
      <c r="AM35" s="18">
        <f t="shared" si="24"/>
        <v>131.96856789682425</v>
      </c>
      <c r="AO35" s="2">
        <f t="shared" si="25"/>
        <v>331.13912675658378</v>
      </c>
      <c r="AP35" s="3">
        <f t="shared" si="26"/>
        <v>241.22033205939132</v>
      </c>
    </row>
    <row r="36" spans="1:42" x14ac:dyDescent="0.45">
      <c r="A36" s="2">
        <v>0.70099999999999996</v>
      </c>
      <c r="B36">
        <v>56000</v>
      </c>
      <c r="C36">
        <v>0.39292929292929302</v>
      </c>
      <c r="D36" s="3">
        <f t="shared" si="1"/>
        <v>1</v>
      </c>
      <c r="F36" s="2">
        <v>389.97</v>
      </c>
      <c r="G36" s="3">
        <v>2.8454000000000001E-4</v>
      </c>
      <c r="H36">
        <v>1.2591192124956E-2</v>
      </c>
      <c r="I36">
        <v>0.31350851536555102</v>
      </c>
      <c r="J36">
        <v>-1.0693831438342001E-2</v>
      </c>
      <c r="K36" s="13">
        <v>968.07579999999996</v>
      </c>
      <c r="L36">
        <f t="shared" si="2"/>
        <v>380.38533959595969</v>
      </c>
      <c r="M36">
        <f t="shared" si="3"/>
        <v>20.585474046070242</v>
      </c>
      <c r="N36" s="2">
        <f t="shared" si="4"/>
        <v>0.75183635697622853</v>
      </c>
      <c r="O36">
        <f t="shared" si="5"/>
        <v>0.77505207565269019</v>
      </c>
      <c r="P36">
        <f t="shared" si="6"/>
        <v>8.9977743824213224E-2</v>
      </c>
      <c r="Q36">
        <f>P36*(1 + (1.4 - 1)/2 *C36^2)^(1.4/0.4)</f>
        <v>0.10008328702367066</v>
      </c>
      <c r="R36">
        <f>Q36*(1-0.3*C36^1-1.7*(O36-1)/O36)</f>
        <v>0.1376667846487109</v>
      </c>
      <c r="S36" s="3">
        <f t="shared" ref="S36:S99" si="28">Q36*(1-0.1 * C36^0.5 - 2.2*(O36-1)/O36)</f>
        <v>0.157714733845877</v>
      </c>
      <c r="T36" s="2">
        <f t="shared" si="9"/>
        <v>2.5880385305078928</v>
      </c>
      <c r="U36" s="3">
        <f t="shared" si="10"/>
        <v>2.0847774467564104</v>
      </c>
      <c r="V36">
        <v>0.39292929292929302</v>
      </c>
      <c r="W36" s="13">
        <f t="shared" si="27"/>
        <v>116.43146617578549</v>
      </c>
      <c r="X36" s="2">
        <f t="shared" si="11"/>
        <v>17.621348435034996</v>
      </c>
      <c r="Y36" s="3">
        <f t="shared" si="12"/>
        <v>23.972639544573305</v>
      </c>
      <c r="Z36" s="13">
        <f t="shared" si="13"/>
        <v>1.2413979892839297</v>
      </c>
      <c r="AA36" s="2">
        <f t="shared" si="14"/>
        <v>0.80554343460538846</v>
      </c>
      <c r="AB36" s="3">
        <f t="shared" si="15"/>
        <v>0.67811195686255221</v>
      </c>
      <c r="AC36">
        <f t="shared" si="16"/>
        <v>0.30608820597412473</v>
      </c>
      <c r="AD36" s="2">
        <f t="shared" si="17"/>
        <v>44288822.800931662</v>
      </c>
      <c r="AE36">
        <f t="shared" si="18"/>
        <v>6702902.6085995203</v>
      </c>
      <c r="AF36" s="3">
        <f t="shared" si="19"/>
        <v>9118840.6341740489</v>
      </c>
      <c r="AG36">
        <f t="shared" si="20"/>
        <v>-37585920.192332134</v>
      </c>
      <c r="AI36" s="2">
        <f t="shared" si="21"/>
        <v>-1708.8177699390708</v>
      </c>
      <c r="AJ36" s="2">
        <f t="shared" si="22"/>
        <v>-1598.978824715761</v>
      </c>
      <c r="AK36">
        <f t="shared" si="23"/>
        <v>-35169982.166757606</v>
      </c>
      <c r="AL36" s="18">
        <v>1.6689999999999999E-4</v>
      </c>
      <c r="AM36" s="18">
        <f t="shared" si="24"/>
        <v>166.54837416435572</v>
      </c>
      <c r="AO36" s="2">
        <f t="shared" si="25"/>
        <v>306.36193693080105</v>
      </c>
      <c r="AP36" s="3">
        <f t="shared" si="26"/>
        <v>238.6247817679216</v>
      </c>
    </row>
    <row r="37" spans="1:42" x14ac:dyDescent="0.45">
      <c r="A37" s="2">
        <v>0.70099999999999996</v>
      </c>
      <c r="B37">
        <v>56000</v>
      </c>
      <c r="C37">
        <v>0.422222222222222</v>
      </c>
      <c r="D37" s="3">
        <f t="shared" si="1"/>
        <v>1</v>
      </c>
      <c r="F37" s="2">
        <v>389.97</v>
      </c>
      <c r="G37" s="3">
        <v>2.8454000000000001E-4</v>
      </c>
      <c r="H37">
        <v>1.2591192124956E-2</v>
      </c>
      <c r="I37">
        <v>0.31350851536555102</v>
      </c>
      <c r="J37">
        <v>-1.0693831438342001E-2</v>
      </c>
      <c r="K37" s="13">
        <v>968.07579999999996</v>
      </c>
      <c r="L37">
        <f t="shared" si="2"/>
        <v>408.74311555555533</v>
      </c>
      <c r="M37">
        <f t="shared" si="3"/>
        <v>23.769181853315612</v>
      </c>
      <c r="N37" s="2">
        <f t="shared" si="4"/>
        <v>0.75183635697622853</v>
      </c>
      <c r="O37">
        <f t="shared" si="5"/>
        <v>0.77864257177804763</v>
      </c>
      <c r="P37">
        <f t="shared" si="6"/>
        <v>8.9977743824213224E-2</v>
      </c>
      <c r="Q37">
        <f t="shared" si="0"/>
        <v>0.10171546159947675</v>
      </c>
      <c r="R37">
        <f t="shared" ref="R37:R45" si="29">Q37*(1-0.3*C37^1-1.7*(O37-1)/O37)</f>
        <v>0.13798923669172353</v>
      </c>
      <c r="S37" s="3">
        <f t="shared" si="28"/>
        <v>0.1587220208515315</v>
      </c>
      <c r="T37" s="2">
        <f t="shared" si="9"/>
        <v>2.2413897259391122</v>
      </c>
      <c r="U37" s="3">
        <f t="shared" si="10"/>
        <v>1.5636349757006813</v>
      </c>
      <c r="V37">
        <v>0.422222222222222</v>
      </c>
      <c r="W37" s="13">
        <f t="shared" si="27"/>
        <v>100.83223725517766</v>
      </c>
      <c r="X37" s="2">
        <f t="shared" si="11"/>
        <v>17.662622296540611</v>
      </c>
      <c r="Y37" s="3">
        <f t="shared" si="12"/>
        <v>24.125747169432788</v>
      </c>
      <c r="Z37" s="13">
        <f t="shared" si="13"/>
        <v>1.433448190128084</v>
      </c>
      <c r="AA37" s="2">
        <f t="shared" si="14"/>
        <v>0.69761851658597174</v>
      </c>
      <c r="AB37" s="3">
        <f t="shared" si="15"/>
        <v>0.60912586451706807</v>
      </c>
      <c r="AC37">
        <f t="shared" si="16"/>
        <v>0.24668852738505095</v>
      </c>
      <c r="AD37" s="2">
        <f t="shared" si="17"/>
        <v>41214482.804118253</v>
      </c>
      <c r="AE37">
        <f t="shared" si="18"/>
        <v>7219475.2663690271</v>
      </c>
      <c r="AF37" s="3">
        <f t="shared" si="19"/>
        <v>9861233.0631395783</v>
      </c>
      <c r="AG37">
        <f t="shared" si="20"/>
        <v>-33995007.537749223</v>
      </c>
      <c r="AI37" s="2">
        <f t="shared" si="21"/>
        <v>-1545.5594188583862</v>
      </c>
      <c r="AJ37" s="2">
        <f t="shared" si="22"/>
        <v>-1425.4537344984872</v>
      </c>
      <c r="AK37">
        <f t="shared" si="23"/>
        <v>-31353249.740978681</v>
      </c>
      <c r="AL37" s="18">
        <v>1.6689999999999999E-4</v>
      </c>
      <c r="AM37" s="18">
        <f t="shared" si="24"/>
        <v>206.65125207182271</v>
      </c>
      <c r="AO37" s="2">
        <f t="shared" si="25"/>
        <v>285.09560613575957</v>
      </c>
      <c r="AP37" s="3">
        <f t="shared" si="26"/>
        <v>233.86268335484365</v>
      </c>
    </row>
    <row r="38" spans="1:42" x14ac:dyDescent="0.45">
      <c r="A38" s="2">
        <v>0.70099999999999996</v>
      </c>
      <c r="B38">
        <v>56000</v>
      </c>
      <c r="C38">
        <v>0.45151515151515198</v>
      </c>
      <c r="D38" s="3">
        <f t="shared" si="1"/>
        <v>1</v>
      </c>
      <c r="F38" s="2">
        <v>389.97</v>
      </c>
      <c r="G38" s="3">
        <v>2.8454000000000001E-4</v>
      </c>
      <c r="H38">
        <v>1.2591192124956E-2</v>
      </c>
      <c r="I38">
        <v>0.31350851536555102</v>
      </c>
      <c r="J38">
        <v>-1.0693831438342001E-2</v>
      </c>
      <c r="K38" s="13">
        <v>968.07579999999996</v>
      </c>
      <c r="L38">
        <f t="shared" si="2"/>
        <v>437.10089151515194</v>
      </c>
      <c r="M38">
        <f t="shared" si="3"/>
        <v>27.18170633072247</v>
      </c>
      <c r="N38" s="2">
        <f t="shared" si="4"/>
        <v>0.75183635697622853</v>
      </c>
      <c r="O38">
        <f t="shared" si="5"/>
        <v>0.78249112090869744</v>
      </c>
      <c r="P38">
        <f t="shared" si="6"/>
        <v>8.9977743824213224E-2</v>
      </c>
      <c r="Q38">
        <f t="shared" si="0"/>
        <v>0.10348595963651994</v>
      </c>
      <c r="R38">
        <f t="shared" si="29"/>
        <v>0.13837046278160575</v>
      </c>
      <c r="S38" s="3">
        <f t="shared" si="28"/>
        <v>0.15981736440431171</v>
      </c>
      <c r="T38" s="2">
        <f t="shared" si="9"/>
        <v>1.9599946873012941</v>
      </c>
      <c r="U38" s="3">
        <f t="shared" si="10"/>
        <v>1.1959991228970268</v>
      </c>
      <c r="V38">
        <v>0.45151515151515198</v>
      </c>
      <c r="W38" s="13">
        <f t="shared" si="27"/>
        <v>88.197722572144372</v>
      </c>
      <c r="X38" s="2">
        <f t="shared" si="11"/>
        <v>17.711419236045536</v>
      </c>
      <c r="Y38" s="3">
        <f t="shared" si="12"/>
        <v>24.292239389455379</v>
      </c>
      <c r="Z38" s="13">
        <f t="shared" si="13"/>
        <v>1.638792746397395</v>
      </c>
      <c r="AA38" s="2">
        <f t="shared" si="14"/>
        <v>0.61020528812952624</v>
      </c>
      <c r="AB38" s="3">
        <f t="shared" si="15"/>
        <v>0.54788961607281961</v>
      </c>
      <c r="AC38">
        <f t="shared" si="16"/>
        <v>0.20177886681131837</v>
      </c>
      <c r="AD38" s="2">
        <f t="shared" si="17"/>
        <v>38551303.165890343</v>
      </c>
      <c r="AE38">
        <f t="shared" si="18"/>
        <v>7741677.1380741159</v>
      </c>
      <c r="AF38" s="3">
        <f t="shared" si="19"/>
        <v>10618159.494030437</v>
      </c>
      <c r="AG38">
        <f t="shared" si="20"/>
        <v>-30809626.027816229</v>
      </c>
      <c r="AI38" s="2">
        <f t="shared" si="21"/>
        <v>-1400.7382597553208</v>
      </c>
      <c r="AJ38" s="2">
        <f t="shared" si="22"/>
        <v>-1269.9609862544539</v>
      </c>
      <c r="AK38">
        <f t="shared" si="23"/>
        <v>-27933143.671859905</v>
      </c>
      <c r="AL38" s="18">
        <v>1.6689999999999999E-4</v>
      </c>
      <c r="AM38" s="18">
        <f t="shared" si="24"/>
        <v>252.64535311096003</v>
      </c>
      <c r="AO38" s="2">
        <f t="shared" si="25"/>
        <v>266.67342146787064</v>
      </c>
      <c r="AP38" s="3">
        <f t="shared" si="26"/>
        <v>227.68013373018812</v>
      </c>
    </row>
    <row r="39" spans="1:42" x14ac:dyDescent="0.45">
      <c r="A39" s="2">
        <v>0.70099999999999996</v>
      </c>
      <c r="B39">
        <v>56000</v>
      </c>
      <c r="C39">
        <v>0.48080808080808102</v>
      </c>
      <c r="D39" s="3">
        <f t="shared" si="1"/>
        <v>1</v>
      </c>
      <c r="F39" s="2">
        <v>389.97</v>
      </c>
      <c r="G39" s="3">
        <v>2.8454000000000001E-4</v>
      </c>
      <c r="H39">
        <v>1.2591192124956E-2</v>
      </c>
      <c r="I39">
        <v>0.31350851536555102</v>
      </c>
      <c r="J39">
        <v>-1.0693831438342001E-2</v>
      </c>
      <c r="K39" s="13">
        <v>968.07579999999996</v>
      </c>
      <c r="L39">
        <f t="shared" si="2"/>
        <v>465.45866747474764</v>
      </c>
      <c r="M39">
        <f t="shared" si="3"/>
        <v>30.823047478290604</v>
      </c>
      <c r="N39" s="2">
        <f t="shared" si="4"/>
        <v>0.75183635697622853</v>
      </c>
      <c r="O39">
        <f t="shared" si="5"/>
        <v>0.78659772304463915</v>
      </c>
      <c r="P39">
        <f t="shared" si="6"/>
        <v>8.9977743824213224E-2</v>
      </c>
      <c r="Q39">
        <f t="shared" si="0"/>
        <v>0.10539933354398572</v>
      </c>
      <c r="R39">
        <f t="shared" si="29"/>
        <v>0.13880712088837441</v>
      </c>
      <c r="S39" s="3">
        <f t="shared" si="28"/>
        <v>0.16099905881026505</v>
      </c>
      <c r="T39" s="2">
        <f t="shared" si="9"/>
        <v>1.7284468720207997</v>
      </c>
      <c r="U39" s="3">
        <f t="shared" si="10"/>
        <v>0.93072312529989454</v>
      </c>
      <c r="V39">
        <v>0.48080808080808102</v>
      </c>
      <c r="W39" s="13">
        <f t="shared" si="27"/>
        <v>77.829792716749907</v>
      </c>
      <c r="X39" s="2">
        <f t="shared" si="11"/>
        <v>17.767311473711924</v>
      </c>
      <c r="Y39" s="3">
        <f t="shared" si="12"/>
        <v>24.471856939160286</v>
      </c>
      <c r="Z39" s="13">
        <f t="shared" si="13"/>
        <v>1.8571010271866462</v>
      </c>
      <c r="AA39" s="2">
        <f t="shared" si="14"/>
        <v>0.53847366694687415</v>
      </c>
      <c r="AB39" s="3">
        <f t="shared" si="15"/>
        <v>0.49395077122987668</v>
      </c>
      <c r="AC39">
        <f t="shared" si="16"/>
        <v>0.16721096448584746</v>
      </c>
      <c r="AD39" s="2">
        <f t="shared" si="17"/>
        <v>36226551.607774228</v>
      </c>
      <c r="AE39">
        <f t="shared" si="18"/>
        <v>8269949.1231627474</v>
      </c>
      <c r="AF39" s="3">
        <f t="shared" si="19"/>
        <v>11390637.921534205</v>
      </c>
      <c r="AG39">
        <f t="shared" si="20"/>
        <v>-27956602.484611481</v>
      </c>
      <c r="AI39" s="2">
        <f t="shared" si="21"/>
        <v>-1271.0275248914338</v>
      </c>
      <c r="AJ39" s="2">
        <f t="shared" si="22"/>
        <v>-1129.1475750107638</v>
      </c>
      <c r="AK39">
        <f t="shared" si="23"/>
        <v>-24835913.686240025</v>
      </c>
      <c r="AL39" s="18">
        <v>1.6689999999999999E-4</v>
      </c>
      <c r="AM39" s="18">
        <f t="shared" si="24"/>
        <v>304.87530056792224</v>
      </c>
      <c r="AO39" s="2">
        <f t="shared" si="25"/>
        <v>250.59226723560309</v>
      </c>
      <c r="AP39" s="3">
        <f t="shared" si="26"/>
        <v>220.67772515225693</v>
      </c>
    </row>
    <row r="40" spans="1:42" x14ac:dyDescent="0.45">
      <c r="A40" s="2">
        <v>0.70099999999999996</v>
      </c>
      <c r="B40">
        <v>56000</v>
      </c>
      <c r="C40">
        <v>0.51010101010101006</v>
      </c>
      <c r="D40" s="3">
        <f t="shared" si="1"/>
        <v>1</v>
      </c>
      <c r="F40" s="2">
        <v>389.97</v>
      </c>
      <c r="G40" s="3">
        <v>2.8454000000000001E-4</v>
      </c>
      <c r="H40">
        <v>1.2591192124956E-2</v>
      </c>
      <c r="I40">
        <v>0.31350851536555102</v>
      </c>
      <c r="J40">
        <v>-1.0693831438342001E-2</v>
      </c>
      <c r="K40" s="13">
        <v>968.07579999999996</v>
      </c>
      <c r="L40">
        <f t="shared" si="2"/>
        <v>493.81644343434334</v>
      </c>
      <c r="M40">
        <f t="shared" si="3"/>
        <v>34.69320529602011</v>
      </c>
      <c r="N40" s="2">
        <f t="shared" si="4"/>
        <v>0.75183635697622853</v>
      </c>
      <c r="O40">
        <f t="shared" si="5"/>
        <v>0.79096237818587301</v>
      </c>
      <c r="P40">
        <f t="shared" si="6"/>
        <v>8.9977743824213224E-2</v>
      </c>
      <c r="Q40">
        <f t="shared" si="0"/>
        <v>0.10746050120549057</v>
      </c>
      <c r="R40">
        <f t="shared" si="29"/>
        <v>0.13929569372534709</v>
      </c>
      <c r="S40" s="3">
        <f t="shared" si="28"/>
        <v>0.16226540430028827</v>
      </c>
      <c r="T40" s="2">
        <f t="shared" si="9"/>
        <v>1.5356321085187146</v>
      </c>
      <c r="U40" s="3">
        <f t="shared" si="10"/>
        <v>0.73547451429616273</v>
      </c>
      <c r="V40">
        <v>0.51010101010101006</v>
      </c>
      <c r="W40" s="13">
        <f t="shared" si="27"/>
        <v>69.22482203715019</v>
      </c>
      <c r="X40" s="2">
        <f t="shared" si="11"/>
        <v>17.829848796844427</v>
      </c>
      <c r="Y40" s="3">
        <f t="shared" si="12"/>
        <v>24.664341453643818</v>
      </c>
      <c r="Z40" s="13">
        <f t="shared" si="13"/>
        <v>2.0879474117309011</v>
      </c>
      <c r="AA40" s="2">
        <f t="shared" si="14"/>
        <v>0.47893926560679201</v>
      </c>
      <c r="AB40" s="3">
        <f t="shared" si="15"/>
        <v>0.44665751314896335</v>
      </c>
      <c r="AC40">
        <f t="shared" si="16"/>
        <v>0.14018330688972724</v>
      </c>
      <c r="AD40" s="2">
        <f t="shared" si="17"/>
        <v>34184355.41576086</v>
      </c>
      <c r="AE40">
        <f t="shared" si="18"/>
        <v>8804672.5198298208</v>
      </c>
      <c r="AF40" s="3">
        <f t="shared" si="19"/>
        <v>12179657.376288632</v>
      </c>
      <c r="AG40">
        <f t="shared" si="20"/>
        <v>-25379682.895931046</v>
      </c>
      <c r="AI40" s="2">
        <f t="shared" si="21"/>
        <v>-1153.8696646526</v>
      </c>
      <c r="AJ40" s="2">
        <f t="shared" si="22"/>
        <v>-1000.4283210196548</v>
      </c>
      <c r="AK40">
        <f t="shared" si="23"/>
        <v>-22004698.03947223</v>
      </c>
      <c r="AL40" s="18">
        <v>1.6689999999999999E-4</v>
      </c>
      <c r="AM40" s="18">
        <f t="shared" si="24"/>
        <v>363.65594582510636</v>
      </c>
      <c r="AO40" s="2">
        <f t="shared" si="25"/>
        <v>236.4656515025527</v>
      </c>
      <c r="AP40" s="3">
        <f t="shared" si="26"/>
        <v>213.3056805339568</v>
      </c>
    </row>
    <row r="41" spans="1:42" x14ac:dyDescent="0.45">
      <c r="A41" s="2">
        <v>0.70099999999999996</v>
      </c>
      <c r="B41">
        <v>56000</v>
      </c>
      <c r="C41">
        <v>0.53939393939393898</v>
      </c>
      <c r="D41" s="3">
        <f t="shared" si="1"/>
        <v>1</v>
      </c>
      <c r="F41" s="2">
        <v>389.97</v>
      </c>
      <c r="G41" s="3">
        <v>2.8454000000000001E-4</v>
      </c>
      <c r="H41">
        <v>1.2591192124956E-2</v>
      </c>
      <c r="I41">
        <v>0.31350851536555102</v>
      </c>
      <c r="J41">
        <v>-1.0693831438342001E-2</v>
      </c>
      <c r="K41" s="13">
        <v>968.07579999999996</v>
      </c>
      <c r="L41">
        <f t="shared" si="2"/>
        <v>522.17421939393898</v>
      </c>
      <c r="M41">
        <f t="shared" si="3"/>
        <v>38.792179783910981</v>
      </c>
      <c r="N41" s="2">
        <f t="shared" si="4"/>
        <v>0.75183635697622853</v>
      </c>
      <c r="O41">
        <f t="shared" si="5"/>
        <v>0.79558508633239888</v>
      </c>
      <c r="P41">
        <f t="shared" si="6"/>
        <v>8.9977743824213224E-2</v>
      </c>
      <c r="Q41">
        <f t="shared" si="0"/>
        <v>0.10967475794752181</v>
      </c>
      <c r="R41">
        <f t="shared" si="29"/>
        <v>0.13983246588070505</v>
      </c>
      <c r="S41" s="3">
        <f t="shared" si="28"/>
        <v>0.16361467269488755</v>
      </c>
      <c r="T41" s="2">
        <f t="shared" si="9"/>
        <v>1.3733695888390414</v>
      </c>
      <c r="U41" s="3">
        <f t="shared" si="10"/>
        <v>0.58922682308151475</v>
      </c>
      <c r="V41">
        <v>0.53939393939393898</v>
      </c>
      <c r="W41" s="13">
        <f t="shared" si="27"/>
        <v>62.01210681420649</v>
      </c>
      <c r="X41" s="2">
        <f t="shared" si="11"/>
        <v>17.898555632730247</v>
      </c>
      <c r="Y41" s="3">
        <f t="shared" si="12"/>
        <v>24.869430249622905</v>
      </c>
      <c r="Z41" s="13">
        <f t="shared" si="13"/>
        <v>2.3307995071518439</v>
      </c>
      <c r="AA41" s="2">
        <f t="shared" si="14"/>
        <v>0.42903733115250453</v>
      </c>
      <c r="AB41" s="3">
        <f t="shared" si="15"/>
        <v>0.40528532723176564</v>
      </c>
      <c r="AC41">
        <f t="shared" si="16"/>
        <v>0.11875750374306258</v>
      </c>
      <c r="AD41" s="2">
        <f t="shared" si="17"/>
        <v>32381123.468681838</v>
      </c>
      <c r="AE41">
        <f t="shared" si="18"/>
        <v>9346164.3157999068</v>
      </c>
      <c r="AF41" s="3">
        <f t="shared" si="19"/>
        <v>12986175.327368854</v>
      </c>
      <c r="AG41">
        <f t="shared" si="20"/>
        <v>-23034959.152881932</v>
      </c>
      <c r="AI41" s="2">
        <f t="shared" si="21"/>
        <v>-1047.2684273483774</v>
      </c>
      <c r="AJ41" s="2">
        <f t="shared" si="22"/>
        <v>-881.77785355069568</v>
      </c>
      <c r="AK41">
        <f t="shared" si="23"/>
        <v>-19394948.141312983</v>
      </c>
      <c r="AL41" s="18">
        <v>1.6689999999999999E-4</v>
      </c>
      <c r="AM41" s="18">
        <f t="shared" si="24"/>
        <v>429.26544806944804</v>
      </c>
      <c r="AO41" s="2">
        <f t="shared" si="25"/>
        <v>223.99203858839306</v>
      </c>
      <c r="AP41" s="3">
        <f t="shared" si="26"/>
        <v>205.88336779448582</v>
      </c>
    </row>
    <row r="42" spans="1:42" x14ac:dyDescent="0.45">
      <c r="A42" s="2">
        <v>0.70099999999999996</v>
      </c>
      <c r="B42">
        <v>56000</v>
      </c>
      <c r="C42">
        <v>0.56868686868686902</v>
      </c>
      <c r="D42" s="3">
        <f t="shared" si="1"/>
        <v>1</v>
      </c>
      <c r="F42" s="2">
        <v>389.97</v>
      </c>
      <c r="G42" s="3">
        <v>2.8454000000000001E-4</v>
      </c>
      <c r="H42">
        <v>1.2591192124956E-2</v>
      </c>
      <c r="I42">
        <v>0.31350851536555102</v>
      </c>
      <c r="J42">
        <v>-1.0693831438342001E-2</v>
      </c>
      <c r="K42" s="13">
        <v>968.07579999999996</v>
      </c>
      <c r="L42">
        <f t="shared" si="2"/>
        <v>550.53199535353565</v>
      </c>
      <c r="M42">
        <f t="shared" si="3"/>
        <v>43.119970941963395</v>
      </c>
      <c r="N42" s="2">
        <f t="shared" si="4"/>
        <v>0.75183635697622853</v>
      </c>
      <c r="O42">
        <f t="shared" si="5"/>
        <v>0.80046584748421723</v>
      </c>
      <c r="P42">
        <f t="shared" si="6"/>
        <v>8.9977743824213224E-2</v>
      </c>
      <c r="Q42">
        <f t="shared" si="0"/>
        <v>0.11204778933641771</v>
      </c>
      <c r="R42">
        <f t="shared" si="29"/>
        <v>0.14041349979414369</v>
      </c>
      <c r="S42" s="3">
        <f t="shared" si="28"/>
        <v>0.16504507727088827</v>
      </c>
      <c r="T42" s="2">
        <f t="shared" si="9"/>
        <v>1.2355295895654925</v>
      </c>
      <c r="U42" s="3">
        <f t="shared" si="10"/>
        <v>0.47795985640460459</v>
      </c>
      <c r="V42">
        <v>0.56868686868686902</v>
      </c>
      <c r="W42" s="13">
        <f t="shared" si="27"/>
        <v>55.913885819451863</v>
      </c>
      <c r="X42" s="2">
        <f t="shared" si="11"/>
        <v>17.972927973650393</v>
      </c>
      <c r="Y42" s="3">
        <f t="shared" si="12"/>
        <v>25.086851745175014</v>
      </c>
      <c r="Z42" s="13">
        <f t="shared" si="13"/>
        <v>2.5850070314683222</v>
      </c>
      <c r="AA42" s="2">
        <f t="shared" si="14"/>
        <v>0.38684614309616994</v>
      </c>
      <c r="AB42" s="3">
        <f t="shared" si="15"/>
        <v>0.36911566961495434</v>
      </c>
      <c r="AC42">
        <f t="shared" si="16"/>
        <v>0.10156337195905497</v>
      </c>
      <c r="AD42" s="2">
        <f t="shared" si="17"/>
        <v>30782383.128152598</v>
      </c>
      <c r="AE42">
        <f t="shared" si="18"/>
        <v>9894671.8996791299</v>
      </c>
      <c r="AF42" s="3">
        <f t="shared" si="19"/>
        <v>13811114.548409529</v>
      </c>
      <c r="AG42">
        <f t="shared" si="20"/>
        <v>-20887711.22847347</v>
      </c>
      <c r="AI42" s="2">
        <f t="shared" si="21"/>
        <v>-949.64529105377812</v>
      </c>
      <c r="AJ42" s="2">
        <f t="shared" si="22"/>
        <v>-771.58694476741834</v>
      </c>
      <c r="AK42">
        <f t="shared" si="23"/>
        <v>-16971268.579743065</v>
      </c>
      <c r="AL42" s="18">
        <v>1.6689999999999999E-4</v>
      </c>
      <c r="AM42" s="18">
        <f t="shared" si="24"/>
        <v>501.93777611506198</v>
      </c>
      <c r="AO42" s="2">
        <f t="shared" si="25"/>
        <v>212.93296868320598</v>
      </c>
      <c r="AP42" s="3">
        <f t="shared" si="26"/>
        <v>198.6268819321528</v>
      </c>
    </row>
    <row r="43" spans="1:42" x14ac:dyDescent="0.45">
      <c r="A43" s="2">
        <v>0.70099999999999996</v>
      </c>
      <c r="B43">
        <v>56000</v>
      </c>
      <c r="C43">
        <v>0.59797979797979794</v>
      </c>
      <c r="D43" s="3">
        <f t="shared" si="1"/>
        <v>1</v>
      </c>
      <c r="F43" s="2">
        <v>389.97</v>
      </c>
      <c r="G43" s="3">
        <v>2.8454000000000001E-4</v>
      </c>
      <c r="H43">
        <v>1.2591192124956E-2</v>
      </c>
      <c r="I43">
        <v>0.31350851536555102</v>
      </c>
      <c r="J43">
        <v>-1.0693831438342001E-2</v>
      </c>
      <c r="K43" s="13">
        <v>968.07579999999996</v>
      </c>
      <c r="L43">
        <f t="shared" si="2"/>
        <v>578.88977131313129</v>
      </c>
      <c r="M43">
        <f t="shared" si="3"/>
        <v>47.676578770177024</v>
      </c>
      <c r="N43" s="2">
        <f t="shared" si="4"/>
        <v>0.75183635697622853</v>
      </c>
      <c r="O43">
        <f t="shared" si="5"/>
        <v>0.80560466164132727</v>
      </c>
      <c r="P43">
        <f t="shared" si="6"/>
        <v>8.9977743824213224E-2</v>
      </c>
      <c r="Q43">
        <f t="shared" si="0"/>
        <v>0.11458568481744541</v>
      </c>
      <c r="R43">
        <f t="shared" si="29"/>
        <v>0.14103461051193719</v>
      </c>
      <c r="S43" s="3">
        <f t="shared" si="28"/>
        <v>0.16655474539791093</v>
      </c>
      <c r="T43" s="2">
        <f t="shared" si="9"/>
        <v>1.1174459530079697</v>
      </c>
      <c r="U43" s="3">
        <f t="shared" si="10"/>
        <v>0.3921149375248979</v>
      </c>
      <c r="V43">
        <v>0.59797979797979794</v>
      </c>
      <c r="W43" s="13">
        <f t="shared" si="27"/>
        <v>50.718717589022155</v>
      </c>
      <c r="X43" s="2">
        <f t="shared" si="11"/>
        <v>18.052430145527961</v>
      </c>
      <c r="Y43" s="3">
        <f t="shared" si="12"/>
        <v>25.316321300482461</v>
      </c>
      <c r="Z43" s="13">
        <f t="shared" si="13"/>
        <v>2.8497918494548955</v>
      </c>
      <c r="AA43" s="2">
        <f t="shared" si="14"/>
        <v>0.35090282126790373</v>
      </c>
      <c r="AB43" s="3">
        <f t="shared" si="15"/>
        <v>0.33747888798161174</v>
      </c>
      <c r="AC43">
        <f t="shared" si="16"/>
        <v>8.7613773990122101E-2</v>
      </c>
      <c r="AD43" s="2">
        <f t="shared" si="17"/>
        <v>29360546.826404326</v>
      </c>
      <c r="AE43">
        <f t="shared" si="18"/>
        <v>10450367.158590958</v>
      </c>
      <c r="AF43" s="3">
        <f t="shared" si="19"/>
        <v>14655359.448126046</v>
      </c>
      <c r="AG43">
        <f t="shared" si="20"/>
        <v>-18910179.667813368</v>
      </c>
      <c r="AI43" s="2">
        <f t="shared" si="21"/>
        <v>-859.73819142233901</v>
      </c>
      <c r="AJ43" s="2">
        <f t="shared" si="22"/>
        <v>-668.56113602380537</v>
      </c>
      <c r="AK43">
        <f t="shared" si="23"/>
        <v>-14705187.378278278</v>
      </c>
      <c r="AL43" s="18">
        <v>1.6689999999999999E-4</v>
      </c>
      <c r="AM43" s="18">
        <f t="shared" si="24"/>
        <v>581.85477846922106</v>
      </c>
      <c r="AO43" s="2">
        <f t="shared" si="25"/>
        <v>203.09760852111643</v>
      </c>
      <c r="AP43" s="3">
        <f t="shared" si="26"/>
        <v>191.67575495480685</v>
      </c>
    </row>
    <row r="44" spans="1:42" x14ac:dyDescent="0.45">
      <c r="A44" s="2">
        <v>0.70099999999999996</v>
      </c>
      <c r="B44">
        <v>56000</v>
      </c>
      <c r="C44">
        <v>0.62727272727272698</v>
      </c>
      <c r="D44" s="3">
        <f t="shared" si="1"/>
        <v>1</v>
      </c>
      <c r="F44" s="2">
        <v>389.97</v>
      </c>
      <c r="G44" s="3">
        <v>2.8454000000000001E-4</v>
      </c>
      <c r="H44">
        <v>1.2591192124956E-2</v>
      </c>
      <c r="I44">
        <v>0.31350851536555102</v>
      </c>
      <c r="J44">
        <v>-1.0693831438342001E-2</v>
      </c>
      <c r="K44" s="13">
        <v>968.07579999999996</v>
      </c>
      <c r="L44">
        <f t="shared" si="2"/>
        <v>607.24754727272693</v>
      </c>
      <c r="M44">
        <f t="shared" si="3"/>
        <v>52.462003268552031</v>
      </c>
      <c r="N44" s="2">
        <f t="shared" si="4"/>
        <v>0.75183635697622853</v>
      </c>
      <c r="O44">
        <f t="shared" si="5"/>
        <v>0.81100152880372967</v>
      </c>
      <c r="P44">
        <f t="shared" si="6"/>
        <v>8.9977743824213224E-2</v>
      </c>
      <c r="Q44">
        <f t="shared" si="0"/>
        <v>0.11729495221022058</v>
      </c>
      <c r="R44">
        <f t="shared" si="29"/>
        <v>0.14169133915205692</v>
      </c>
      <c r="S44" s="3">
        <f t="shared" si="28"/>
        <v>0.16814169295070805</v>
      </c>
      <c r="T44" s="2">
        <f t="shared" si="9"/>
        <v>1.0155159292580029</v>
      </c>
      <c r="U44" s="3">
        <f t="shared" si="10"/>
        <v>0.32504417852552298</v>
      </c>
      <c r="V44">
        <v>0.62727272727272698</v>
      </c>
      <c r="W44" s="13">
        <f t="shared" si="27"/>
        <v>46.263347735651436</v>
      </c>
      <c r="X44" s="2">
        <f t="shared" si="11"/>
        <v>18.136491411463286</v>
      </c>
      <c r="Y44" s="3">
        <f t="shared" si="12"/>
        <v>25.557537328507625</v>
      </c>
      <c r="Z44" s="13">
        <f t="shared" si="13"/>
        <v>3.1242397075518245</v>
      </c>
      <c r="AA44" s="2">
        <f t="shared" si="14"/>
        <v>0.32007787289266826</v>
      </c>
      <c r="AB44" s="3">
        <f t="shared" si="15"/>
        <v>0.30977358236202435</v>
      </c>
      <c r="AC44">
        <f t="shared" si="16"/>
        <v>7.618531839845151E-2</v>
      </c>
      <c r="AD44" s="2">
        <f t="shared" si="17"/>
        <v>28093304.441099599</v>
      </c>
      <c r="AE44">
        <f t="shared" si="18"/>
        <v>11013339.925743958</v>
      </c>
      <c r="AF44" s="3">
        <f t="shared" si="19"/>
        <v>15519751.857067417</v>
      </c>
      <c r="AG44">
        <f t="shared" si="20"/>
        <v>-17079964.515355643</v>
      </c>
      <c r="AI44" s="2">
        <f t="shared" si="21"/>
        <v>-776.52873002488877</v>
      </c>
      <c r="AJ44" s="2">
        <f t="shared" si="22"/>
        <v>-571.64783985362783</v>
      </c>
      <c r="AK44">
        <f t="shared" si="23"/>
        <v>-12573552.584032182</v>
      </c>
      <c r="AL44" s="18">
        <v>1.6689999999999999E-4</v>
      </c>
      <c r="AM44" s="18">
        <f t="shared" si="24"/>
        <v>669.13801933931495</v>
      </c>
      <c r="AO44" s="2">
        <f t="shared" si="25"/>
        <v>194.33163085068264</v>
      </c>
      <c r="AP44" s="3">
        <f t="shared" si="26"/>
        <v>185.11516618373935</v>
      </c>
    </row>
    <row r="45" spans="1:42" x14ac:dyDescent="0.45">
      <c r="A45" s="2">
        <v>0.70099999999999996</v>
      </c>
      <c r="B45">
        <v>56000</v>
      </c>
      <c r="C45">
        <v>0.65656565656565702</v>
      </c>
      <c r="D45" s="3">
        <f t="shared" si="1"/>
        <v>1</v>
      </c>
      <c r="F45" s="2">
        <v>389.97</v>
      </c>
      <c r="G45" s="3">
        <v>2.8454000000000001E-4</v>
      </c>
      <c r="H45">
        <v>1.2591192124956E-2</v>
      </c>
      <c r="I45">
        <v>0.31350851536555102</v>
      </c>
      <c r="J45">
        <v>-1.0693831438342001E-2</v>
      </c>
      <c r="K45" s="13">
        <v>968.07579999999996</v>
      </c>
      <c r="L45">
        <f t="shared" si="2"/>
        <v>635.6053232323236</v>
      </c>
      <c r="M45">
        <f t="shared" si="3"/>
        <v>57.476244437088596</v>
      </c>
      <c r="N45" s="2">
        <f t="shared" si="4"/>
        <v>0.75183635697622853</v>
      </c>
      <c r="O45">
        <f t="shared" si="5"/>
        <v>0.81665644897142431</v>
      </c>
      <c r="P45">
        <f t="shared" si="6"/>
        <v>8.9977743824213224E-2</v>
      </c>
      <c r="Q45">
        <f t="shared" si="0"/>
        <v>0.12018253307537501</v>
      </c>
      <c r="R45">
        <f t="shared" si="29"/>
        <v>0.14237892500927521</v>
      </c>
      <c r="S45" s="3">
        <f t="shared" si="28"/>
        <v>0.16980379978997229</v>
      </c>
      <c r="T45" s="2">
        <f t="shared" si="9"/>
        <v>0.92692207923073278</v>
      </c>
      <c r="U45" s="3">
        <f t="shared" si="10"/>
        <v>0.27204051351628783</v>
      </c>
      <c r="V45">
        <v>0.65656565656565702</v>
      </c>
      <c r="W45" s="13">
        <f t="shared" si="27"/>
        <v>42.420107311135304</v>
      </c>
      <c r="X45" s="2">
        <f t="shared" si="11"/>
        <v>18.224502401187227</v>
      </c>
      <c r="Y45" s="3">
        <f t="shared" si="12"/>
        <v>25.81017756807579</v>
      </c>
      <c r="Z45" s="13">
        <f t="shared" si="13"/>
        <v>3.407294256468294</v>
      </c>
      <c r="AA45" s="2">
        <f t="shared" si="14"/>
        <v>0.29348800682583648</v>
      </c>
      <c r="AB45" s="3">
        <f t="shared" si="15"/>
        <v>0.28547183335024862</v>
      </c>
      <c r="AC45">
        <f t="shared" si="16"/>
        <v>6.6739697986497343E-2</v>
      </c>
      <c r="AD45" s="2">
        <f t="shared" si="17"/>
        <v>26962446.019044008</v>
      </c>
      <c r="AE45">
        <f t="shared" si="18"/>
        <v>11583590.739454865</v>
      </c>
      <c r="AF45" s="3">
        <f t="shared" si="19"/>
        <v>16405086.25584048</v>
      </c>
      <c r="AG45">
        <f t="shared" si="20"/>
        <v>-15378855.279589143</v>
      </c>
      <c r="AI45" s="2">
        <f t="shared" si="21"/>
        <v>-699.18897950633425</v>
      </c>
      <c r="AJ45" s="2">
        <f t="shared" si="22"/>
        <v>-479.98303286671626</v>
      </c>
      <c r="AK45">
        <f t="shared" si="23"/>
        <v>-10557359.763203528</v>
      </c>
      <c r="AL45" s="18">
        <v>1.6689999999999999E-4</v>
      </c>
      <c r="AM45" s="18">
        <f t="shared" si="24"/>
        <v>763.8406314962466</v>
      </c>
      <c r="AO45" s="2">
        <f t="shared" si="25"/>
        <v>186.5090707855239</v>
      </c>
      <c r="AP45" s="3">
        <f t="shared" si="26"/>
        <v>178.99295513400691</v>
      </c>
    </row>
    <row r="46" spans="1:42" ht="14.65" thickBot="1" x14ac:dyDescent="0.5">
      <c r="A46" s="2">
        <v>0.70099999999999996</v>
      </c>
      <c r="B46">
        <v>56000</v>
      </c>
      <c r="C46" s="4">
        <v>0.68585858585858595</v>
      </c>
      <c r="D46" s="5">
        <f t="shared" si="1"/>
        <v>1</v>
      </c>
      <c r="F46" s="2">
        <v>389.97</v>
      </c>
      <c r="G46" s="3">
        <v>2.8454000000000001E-4</v>
      </c>
      <c r="H46">
        <v>1.2591192124956E-2</v>
      </c>
      <c r="I46">
        <v>0.31350851536555102</v>
      </c>
      <c r="J46">
        <v>-1.0693831438342001E-2</v>
      </c>
      <c r="K46" s="13">
        <v>968.07579999999996</v>
      </c>
      <c r="L46">
        <f t="shared" si="2"/>
        <v>663.96309919191924</v>
      </c>
      <c r="M46">
        <f t="shared" si="3"/>
        <v>62.719302275786355</v>
      </c>
      <c r="N46" s="2">
        <f t="shared" si="4"/>
        <v>0.75183635697622853</v>
      </c>
      <c r="O46">
        <f t="shared" si="5"/>
        <v>0.82256942214441087</v>
      </c>
      <c r="P46" s="4">
        <f t="shared" si="6"/>
        <v>8.9977743824213224E-2</v>
      </c>
      <c r="Q46">
        <f t="shared" si="0"/>
        <v>0.12325581896803343</v>
      </c>
      <c r="R46">
        <f>Q46*(1-0.3*C46^1-1.7*((O46-1)/O46))</f>
        <v>0.14309227622845722</v>
      </c>
      <c r="S46" s="3">
        <f t="shared" si="28"/>
        <v>0.17153878579589502</v>
      </c>
      <c r="T46" s="2">
        <f t="shared" si="9"/>
        <v>0.84943546989310059</v>
      </c>
      <c r="U46" s="3">
        <f t="shared" si="10"/>
        <v>0.22971660016446108</v>
      </c>
      <c r="V46" s="4">
        <v>0.68585858585858595</v>
      </c>
      <c r="W46" s="13">
        <f t="shared" si="27"/>
        <v>39.087994828883375</v>
      </c>
      <c r="X46" s="2">
        <f t="shared" si="11"/>
        <v>18.315811357242524</v>
      </c>
      <c r="Y46" s="3">
        <f t="shared" si="12"/>
        <v>26.073895440976042</v>
      </c>
      <c r="Z46" s="13">
        <f t="shared" si="13"/>
        <v>3.6977539685201855</v>
      </c>
      <c r="AA46" s="2">
        <f t="shared" si="14"/>
        <v>0.27043443358136476</v>
      </c>
      <c r="AB46" s="3">
        <f t="shared" si="15"/>
        <v>0.26411670543574878</v>
      </c>
      <c r="AC46">
        <f t="shared" si="16"/>
        <v>5.8870733744775396E-2</v>
      </c>
      <c r="AD46" s="2">
        <f t="shared" si="17"/>
        <v>25952986.187783118</v>
      </c>
      <c r="AE46">
        <f t="shared" si="18"/>
        <v>12161022.8729693</v>
      </c>
      <c r="AF46" s="3">
        <f t="shared" si="19"/>
        <v>17312104.424996506</v>
      </c>
      <c r="AG46">
        <f t="shared" si="20"/>
        <v>-13791963.314813821</v>
      </c>
      <c r="AI46" s="2">
        <f t="shared" si="21"/>
        <v>-627.04203792540648</v>
      </c>
      <c r="AJ46" s="2">
        <f t="shared" si="22"/>
        <v>-392.85169096923011</v>
      </c>
      <c r="AK46">
        <f t="shared" si="23"/>
        <v>-8640881.7627866138</v>
      </c>
      <c r="AL46" s="18">
        <v>1.6689999999999999E-4</v>
      </c>
      <c r="AM46" s="18">
        <f t="shared" si="24"/>
        <v>865.93948831832074</v>
      </c>
      <c r="AO46" s="2">
        <f t="shared" si="25"/>
        <v>179.52626904005913</v>
      </c>
      <c r="AP46" s="3">
        <f t="shared" si="26"/>
        <v>173.33201900183758</v>
      </c>
    </row>
    <row r="47" spans="1:42" ht="14.65" thickBot="1" x14ac:dyDescent="0.5">
      <c r="A47" s="2">
        <v>0.70099999999999996</v>
      </c>
      <c r="B47">
        <v>56000</v>
      </c>
      <c r="C47">
        <v>0.71515151515151498</v>
      </c>
      <c r="D47" s="5">
        <f t="shared" si="1"/>
        <v>1</v>
      </c>
      <c r="F47" s="2">
        <v>389.97</v>
      </c>
      <c r="G47" s="3">
        <v>2.8454000000000001E-4</v>
      </c>
      <c r="H47">
        <v>1.2591192124956E-2</v>
      </c>
      <c r="I47">
        <v>0.31350851536555102</v>
      </c>
      <c r="J47">
        <v>-1.0693831438342001E-2</v>
      </c>
      <c r="K47" s="13">
        <v>968.07579999999996</v>
      </c>
      <c r="L47">
        <f t="shared" si="2"/>
        <v>692.320875151515</v>
      </c>
      <c r="M47">
        <f t="shared" si="3"/>
        <v>68.191176784645521</v>
      </c>
      <c r="N47" s="2">
        <f t="shared" si="4"/>
        <v>0.75183635697622853</v>
      </c>
      <c r="O47">
        <f t="shared" si="5"/>
        <v>0.82874044832268945</v>
      </c>
      <c r="P47" s="4">
        <f t="shared" si="6"/>
        <v>8.9977743824213224E-2</v>
      </c>
      <c r="Q47">
        <f t="shared" si="0"/>
        <v>0.12652266859428699</v>
      </c>
      <c r="R47">
        <f t="shared" ref="R47:R110" si="30">Q47*(1-0.3*C47^1-1.7*((O47-1)/O47))</f>
        <v>0.14382593897248877</v>
      </c>
      <c r="S47" s="3">
        <f t="shared" si="28"/>
        <v>0.17334418706962987</v>
      </c>
      <c r="T47" s="2">
        <f t="shared" si="9"/>
        <v>0.78127409603519349</v>
      </c>
      <c r="U47" s="3">
        <f t="shared" si="10"/>
        <v>0.19559859464010421</v>
      </c>
      <c r="V47">
        <v>0.71515151515151498</v>
      </c>
      <c r="W47" s="13">
        <f t="shared" si="27"/>
        <v>36.18626081251233</v>
      </c>
      <c r="X47" s="2">
        <f t="shared" si="11"/>
        <v>18.409720188478563</v>
      </c>
      <c r="Y47" s="3">
        <f t="shared" si="12"/>
        <v>26.34831643458374</v>
      </c>
      <c r="Z47" s="13">
        <f t="shared" si="13"/>
        <v>3.9942725430758608</v>
      </c>
      <c r="AA47" s="2">
        <f t="shared" si="14"/>
        <v>0.25035847935151972</v>
      </c>
      <c r="AB47" s="3">
        <f t="shared" si="15"/>
        <v>0.24531602698891128</v>
      </c>
      <c r="AC47">
        <f t="shared" si="16"/>
        <v>5.2268048113662521E-2</v>
      </c>
      <c r="AD47" s="2">
        <f t="shared" si="17"/>
        <v>25052503.754179511</v>
      </c>
      <c r="AE47">
        <f t="shared" si="18"/>
        <v>12745433.592181994</v>
      </c>
      <c r="AF47" s="3">
        <f t="shared" si="19"/>
        <v>18241489.492760062</v>
      </c>
      <c r="AG47">
        <f t="shared" si="20"/>
        <v>-12307070.161997518</v>
      </c>
      <c r="AI47" s="2">
        <f t="shared" si="21"/>
        <v>-559.53240152408716</v>
      </c>
      <c r="AJ47" s="2">
        <f t="shared" si="22"/>
        <v>-309.65803528727776</v>
      </c>
      <c r="AK47">
        <f t="shared" si="23"/>
        <v>-6811014.2614194481</v>
      </c>
      <c r="AL47" s="18">
        <v>1.6689999999999999E-4</v>
      </c>
      <c r="AM47" s="18">
        <f t="shared" si="24"/>
        <v>975.32804257424459</v>
      </c>
      <c r="AO47" s="2">
        <f t="shared" si="25"/>
        <v>173.29730369205356</v>
      </c>
      <c r="AP47" s="3">
        <f t="shared" si="26"/>
        <v>168.13905702664951</v>
      </c>
    </row>
    <row r="48" spans="1:42" ht="14.65" thickBot="1" x14ac:dyDescent="0.5">
      <c r="A48" s="2">
        <v>0.70099999999999996</v>
      </c>
      <c r="B48">
        <v>56000</v>
      </c>
      <c r="C48">
        <v>0.74444444444444402</v>
      </c>
      <c r="D48" s="5">
        <f t="shared" si="1"/>
        <v>1</v>
      </c>
      <c r="F48" s="2">
        <v>389.97</v>
      </c>
      <c r="G48" s="3">
        <v>2.8454000000000001E-4</v>
      </c>
      <c r="H48">
        <v>1.2591192124956E-2</v>
      </c>
      <c r="I48">
        <v>0.31350851536555102</v>
      </c>
      <c r="J48">
        <v>-1.0693831438342001E-2</v>
      </c>
      <c r="K48" s="13">
        <v>968.07579999999996</v>
      </c>
      <c r="L48">
        <f t="shared" si="2"/>
        <v>720.67865111111064</v>
      </c>
      <c r="M48">
        <f t="shared" si="3"/>
        <v>73.89186796366603</v>
      </c>
      <c r="N48" s="2">
        <f t="shared" si="4"/>
        <v>0.75183635697622853</v>
      </c>
      <c r="O48">
        <f t="shared" si="5"/>
        <v>0.83516952750626028</v>
      </c>
      <c r="P48" s="4">
        <f t="shared" si="6"/>
        <v>8.9977743824213224E-2</v>
      </c>
      <c r="Q48">
        <f t="shared" si="0"/>
        <v>0.12999142588746387</v>
      </c>
      <c r="R48">
        <f t="shared" si="30"/>
        <v>0.14457406500951964</v>
      </c>
      <c r="S48" s="3">
        <f t="shared" si="28"/>
        <v>0.1752173320088336</v>
      </c>
      <c r="T48" s="2">
        <f t="shared" si="9"/>
        <v>0.72099950195056339</v>
      </c>
      <c r="U48" s="3">
        <f t="shared" si="10"/>
        <v>0.16785529996235901</v>
      </c>
      <c r="V48">
        <v>0.74444444444444402</v>
      </c>
      <c r="W48" s="13">
        <f t="shared" si="27"/>
        <v>33.649723328518171</v>
      </c>
      <c r="X48" s="2">
        <f t="shared" si="11"/>
        <v>18.505480321218513</v>
      </c>
      <c r="Y48" s="3">
        <f t="shared" si="12"/>
        <v>26.63303446534271</v>
      </c>
      <c r="Z48" s="13">
        <f t="shared" si="13"/>
        <v>4.295363340402389</v>
      </c>
      <c r="AA48" s="2">
        <f t="shared" si="14"/>
        <v>0.23280917602335363</v>
      </c>
      <c r="AB48" s="3">
        <f t="shared" si="15"/>
        <v>0.22873478231489633</v>
      </c>
      <c r="AC48">
        <f t="shared" si="16"/>
        <v>4.6691716587744771E-2</v>
      </c>
      <c r="AD48" s="2">
        <f t="shared" si="17"/>
        <v>24250637.218658548</v>
      </c>
      <c r="AE48">
        <f t="shared" si="18"/>
        <v>13336504.596058961</v>
      </c>
      <c r="AF48" s="3">
        <f t="shared" si="19"/>
        <v>19193859.353478905</v>
      </c>
      <c r="AG48">
        <f t="shared" si="20"/>
        <v>-10914132.622599587</v>
      </c>
      <c r="AI48" s="2">
        <f t="shared" si="21"/>
        <v>-496.20346325256952</v>
      </c>
      <c r="AJ48" s="2">
        <f t="shared" si="22"/>
        <v>-229.90289529791534</v>
      </c>
      <c r="AK48">
        <f t="shared" si="23"/>
        <v>-5056777.8651796449</v>
      </c>
      <c r="AL48" s="18">
        <v>1.6689999999999999E-4</v>
      </c>
      <c r="AM48" s="18">
        <f t="shared" si="24"/>
        <v>1091.8102134898868</v>
      </c>
      <c r="AO48" s="2">
        <f t="shared" si="25"/>
        <v>167.75050047069936</v>
      </c>
      <c r="AP48" s="3">
        <f t="shared" si="26"/>
        <v>163.41059889055509</v>
      </c>
    </row>
    <row r="49" spans="1:49" ht="14.65" thickBot="1" x14ac:dyDescent="0.5">
      <c r="A49" s="2">
        <v>0.70099999999999996</v>
      </c>
      <c r="B49">
        <v>56000</v>
      </c>
      <c r="C49">
        <v>0.77373737373737395</v>
      </c>
      <c r="D49" s="5">
        <f t="shared" si="1"/>
        <v>1</v>
      </c>
      <c r="F49" s="2">
        <v>389.97</v>
      </c>
      <c r="G49" s="3">
        <v>2.8454000000000001E-4</v>
      </c>
      <c r="H49">
        <v>1.2591192124956E-2</v>
      </c>
      <c r="I49">
        <v>0.31350851536555102</v>
      </c>
      <c r="J49">
        <v>-1.0693831438342001E-2</v>
      </c>
      <c r="K49" s="13">
        <v>968.07579999999996</v>
      </c>
      <c r="L49">
        <f t="shared" si="2"/>
        <v>749.03642707070719</v>
      </c>
      <c r="M49">
        <f t="shared" si="3"/>
        <v>79.821375812848117</v>
      </c>
      <c r="N49" s="2">
        <f t="shared" si="4"/>
        <v>0.75183635697622853</v>
      </c>
      <c r="O49">
        <f t="shared" si="5"/>
        <v>0.84185665969512335</v>
      </c>
      <c r="P49" s="4">
        <f t="shared" si="6"/>
        <v>8.9977743824213224E-2</v>
      </c>
      <c r="Q49">
        <f t="shared" si="0"/>
        <v>0.13367093902159111</v>
      </c>
      <c r="R49">
        <f t="shared" si="30"/>
        <v>0.14533037764241108</v>
      </c>
      <c r="S49" s="3">
        <f t="shared" si="28"/>
        <v>0.17715531702779327</v>
      </c>
      <c r="T49" s="2">
        <f t="shared" si="9"/>
        <v>0.66744026217880159</v>
      </c>
      <c r="U49" s="3">
        <f t="shared" si="10"/>
        <v>0.1451143757328113</v>
      </c>
      <c r="V49">
        <v>0.77373737373737395</v>
      </c>
      <c r="W49" s="13">
        <f t="shared" si="27"/>
        <v>31.42530060585786</v>
      </c>
      <c r="X49" s="2">
        <f t="shared" si="11"/>
        <v>18.602288338228615</v>
      </c>
      <c r="Y49" s="3">
        <f t="shared" si="12"/>
        <v>26.927608188224578</v>
      </c>
      <c r="Z49" s="13">
        <f t="shared" si="13"/>
        <v>4.5994082861074457</v>
      </c>
      <c r="AA49" s="2">
        <f t="shared" si="14"/>
        <v>0.21741927173991252</v>
      </c>
      <c r="AB49" s="3">
        <f t="shared" si="15"/>
        <v>0.21408738873443467</v>
      </c>
      <c r="AC49">
        <f t="shared" si="16"/>
        <v>4.1954302180942385E-2</v>
      </c>
      <c r="AD49" s="2">
        <f t="shared" si="17"/>
        <v>23538694.885434702</v>
      </c>
      <c r="AE49">
        <f t="shared" si="18"/>
        <v>13933791.592205843</v>
      </c>
      <c r="AF49" s="3">
        <f t="shared" si="19"/>
        <v>20169759.42686766</v>
      </c>
      <c r="AG49">
        <f t="shared" si="20"/>
        <v>-9604903.2932288572</v>
      </c>
      <c r="AI49" s="2">
        <f t="shared" si="21"/>
        <v>-436.68026064090293</v>
      </c>
      <c r="AJ49" s="2">
        <f t="shared" si="22"/>
        <v>-153.16631195720089</v>
      </c>
      <c r="AK49">
        <f t="shared" si="23"/>
        <v>-3368935.4585670456</v>
      </c>
      <c r="AL49" s="18">
        <v>1.6689999999999999E-4</v>
      </c>
      <c r="AM49" s="18">
        <f t="shared" si="24"/>
        <v>1215.0957209587846</v>
      </c>
      <c r="AO49" s="2">
        <f t="shared" si="25"/>
        <v>162.82573574688053</v>
      </c>
      <c r="AP49" s="3">
        <f t="shared" si="26"/>
        <v>159.13708833795039</v>
      </c>
    </row>
    <row r="50" spans="1:49" ht="14.65" thickBot="1" x14ac:dyDescent="0.5">
      <c r="A50" s="2">
        <v>0.70099999999999996</v>
      </c>
      <c r="B50">
        <v>56000</v>
      </c>
      <c r="C50">
        <v>0.80303030303030298</v>
      </c>
      <c r="D50" s="5">
        <f t="shared" si="1"/>
        <v>1</v>
      </c>
      <c r="F50" s="2">
        <v>389.97</v>
      </c>
      <c r="G50" s="3">
        <v>2.8454000000000001E-4</v>
      </c>
      <c r="H50">
        <v>1.2591192124956E-2</v>
      </c>
      <c r="I50">
        <v>0.31350851536555102</v>
      </c>
      <c r="J50">
        <v>-1.0693831438342001E-2</v>
      </c>
      <c r="K50" s="13">
        <v>968.07579999999996</v>
      </c>
      <c r="L50">
        <f t="shared" si="2"/>
        <v>777.39420303030295</v>
      </c>
      <c r="M50">
        <f t="shared" si="3"/>
        <v>85.979700332191399</v>
      </c>
      <c r="N50" s="2">
        <f t="shared" si="4"/>
        <v>0.75183635697622853</v>
      </c>
      <c r="O50">
        <f t="shared" si="5"/>
        <v>0.84880184488927846</v>
      </c>
      <c r="P50" s="4">
        <f t="shared" si="6"/>
        <v>8.9977743824213224E-2</v>
      </c>
      <c r="Q50">
        <f t="shared" si="0"/>
        <v>0.13757058038001468</v>
      </c>
      <c r="R50">
        <f t="shared" si="30"/>
        <v>0.14608813590147207</v>
      </c>
      <c r="S50" s="3">
        <f t="shared" si="28"/>
        <v>0.17915498173880329</v>
      </c>
      <c r="T50" s="2">
        <f t="shared" si="9"/>
        <v>0.61963463229300286</v>
      </c>
      <c r="U50" s="3">
        <f t="shared" si="10"/>
        <v>0.12633560207138647</v>
      </c>
      <c r="V50">
        <v>0.80303030303030298</v>
      </c>
      <c r="W50" s="13">
        <f t="shared" si="27"/>
        <v>29.469412323634931</v>
      </c>
      <c r="X50" s="2">
        <f t="shared" si="11"/>
        <v>18.699281395388425</v>
      </c>
      <c r="Y50" s="3">
        <f t="shared" si="12"/>
        <v>27.231557224298101</v>
      </c>
      <c r="Z50" s="13">
        <f t="shared" si="13"/>
        <v>4.9046715425702061</v>
      </c>
      <c r="AA50" s="2">
        <f t="shared" si="14"/>
        <v>0.20388725143375611</v>
      </c>
      <c r="AB50" s="3">
        <f t="shared" si="15"/>
        <v>0.20113049219042337</v>
      </c>
      <c r="AC50">
        <f t="shared" si="16"/>
        <v>3.7907939381027531E-2</v>
      </c>
      <c r="AD50" s="2">
        <f t="shared" si="17"/>
        <v>22909350.307103567</v>
      </c>
      <c r="AE50">
        <f t="shared" si="18"/>
        <v>14536712.957607357</v>
      </c>
      <c r="AF50" s="3">
        <f t="shared" si="19"/>
        <v>21169654.72565731</v>
      </c>
      <c r="AG50">
        <f t="shared" si="20"/>
        <v>-8372637.3494962081</v>
      </c>
      <c r="AI50" s="2">
        <f t="shared" si="21"/>
        <v>-380.65614493039612</v>
      </c>
      <c r="AJ50" s="2">
        <f t="shared" si="22"/>
        <v>-79.094051938798245</v>
      </c>
      <c r="AK50">
        <f t="shared" si="23"/>
        <v>-1739695.5814462544</v>
      </c>
      <c r="AL50" s="18">
        <v>1.6689999999999999E-4</v>
      </c>
      <c r="AM50" s="18">
        <f t="shared" si="24"/>
        <v>1344.7972611613131</v>
      </c>
      <c r="AO50" s="2">
        <f t="shared" si="25"/>
        <v>158.47232981236178</v>
      </c>
      <c r="AP50" s="3">
        <f t="shared" si="26"/>
        <v>155.30560703064259</v>
      </c>
    </row>
    <row r="51" spans="1:49" ht="14.65" thickBot="1" x14ac:dyDescent="0.5">
      <c r="A51" s="2">
        <v>0.70099999999999996</v>
      </c>
      <c r="B51">
        <v>56000</v>
      </c>
      <c r="C51">
        <v>0.83232323232323202</v>
      </c>
      <c r="D51" s="5">
        <f t="shared" si="1"/>
        <v>1</v>
      </c>
      <c r="F51" s="2">
        <v>389.97</v>
      </c>
      <c r="G51" s="3">
        <v>2.8454000000000001E-4</v>
      </c>
      <c r="H51">
        <v>1.2591192124956E-2</v>
      </c>
      <c r="I51">
        <v>0.31350851536555102</v>
      </c>
      <c r="J51">
        <v>-1.0693831438342001E-2</v>
      </c>
      <c r="K51" s="13">
        <v>968.07579999999996</v>
      </c>
      <c r="L51">
        <f t="shared" si="2"/>
        <v>805.7519789898987</v>
      </c>
      <c r="M51">
        <f t="shared" si="3"/>
        <v>92.366841521696074</v>
      </c>
      <c r="N51" s="2">
        <f t="shared" si="4"/>
        <v>0.75183635697622853</v>
      </c>
      <c r="O51">
        <f t="shared" si="5"/>
        <v>0.85600508308872547</v>
      </c>
      <c r="P51" s="4">
        <f t="shared" si="6"/>
        <v>8.9977743824213224E-2</v>
      </c>
      <c r="Q51">
        <f t="shared" si="0"/>
        <v>0.14170026749770254</v>
      </c>
      <c r="R51">
        <f t="shared" si="30"/>
        <v>0.14684009691974953</v>
      </c>
      <c r="S51" s="3">
        <f t="shared" si="28"/>
        <v>0.18121288344500294</v>
      </c>
      <c r="T51" s="2">
        <f t="shared" si="9"/>
        <v>0.57678707122930017</v>
      </c>
      <c r="U51" s="3">
        <f t="shared" si="10"/>
        <v>0.11072218388547993</v>
      </c>
      <c r="V51">
        <v>0.83232323232323202</v>
      </c>
      <c r="W51" s="13">
        <f t="shared" si="27"/>
        <v>27.746009471447302</v>
      </c>
      <c r="X51" s="2">
        <f t="shared" si="11"/>
        <v>18.79553240572794</v>
      </c>
      <c r="Y51" s="3">
        <f t="shared" si="12"/>
        <v>27.544358283640445</v>
      </c>
      <c r="Z51" s="13">
        <f t="shared" si="13"/>
        <v>5.2093180516189213</v>
      </c>
      <c r="AA51" s="2">
        <f t="shared" si="14"/>
        <v>0.19196370620703912</v>
      </c>
      <c r="AB51" s="3">
        <f t="shared" si="15"/>
        <v>0.18965654836050611</v>
      </c>
      <c r="AC51">
        <f t="shared" si="16"/>
        <v>3.4434925628392579E-2</v>
      </c>
      <c r="AD51" s="2">
        <f t="shared" si="17"/>
        <v>22356402.040691137</v>
      </c>
      <c r="AE51">
        <f t="shared" si="18"/>
        <v>15144537.432084057</v>
      </c>
      <c r="AF51" s="3">
        <f t="shared" si="19"/>
        <v>22193921.197050098</v>
      </c>
      <c r="AG51">
        <f t="shared" si="20"/>
        <v>-7211864.608607078</v>
      </c>
      <c r="AI51" s="2">
        <f t="shared" si="21"/>
        <v>-327.88241805761658</v>
      </c>
      <c r="AJ51" s="2">
        <f t="shared" si="22"/>
        <v>-7.387078764274615</v>
      </c>
      <c r="AK51">
        <f t="shared" si="23"/>
        <v>-162480.84364103785</v>
      </c>
      <c r="AL51" s="18">
        <v>1.6689999999999999E-4</v>
      </c>
      <c r="AM51" s="18">
        <f t="shared" si="24"/>
        <v>1480.4298869703871</v>
      </c>
      <c r="AO51" s="2">
        <f t="shared" si="25"/>
        <v>154.64738502477812</v>
      </c>
      <c r="AP51" s="3">
        <f t="shared" si="26"/>
        <v>151.90166266025395</v>
      </c>
    </row>
    <row r="52" spans="1:49" ht="14.65" thickBot="1" x14ac:dyDescent="0.5">
      <c r="A52" s="2">
        <v>0.70099999999999996</v>
      </c>
      <c r="B52">
        <v>56000</v>
      </c>
      <c r="C52">
        <v>0.86161616161616195</v>
      </c>
      <c r="D52" s="5">
        <f t="shared" si="1"/>
        <v>1</v>
      </c>
      <c r="F52" s="2">
        <v>389.97</v>
      </c>
      <c r="G52" s="3">
        <v>2.8454000000000001E-4</v>
      </c>
      <c r="H52">
        <v>1.2591192124956E-2</v>
      </c>
      <c r="I52">
        <v>0.31350851536555102</v>
      </c>
      <c r="J52">
        <v>-1.0693831438342001E-2</v>
      </c>
      <c r="K52" s="13">
        <v>968.07579999999996</v>
      </c>
      <c r="L52">
        <f t="shared" si="2"/>
        <v>834.10975494949525</v>
      </c>
      <c r="M52">
        <f t="shared" si="3"/>
        <v>98.982799381362327</v>
      </c>
      <c r="N52" s="2">
        <f t="shared" si="4"/>
        <v>0.75183635697622853</v>
      </c>
      <c r="O52">
        <f t="shared" si="5"/>
        <v>0.86346637429346484</v>
      </c>
      <c r="P52" s="4">
        <f t="shared" si="6"/>
        <v>8.9977743824213224E-2</v>
      </c>
      <c r="Q52">
        <f t="shared" si="0"/>
        <v>0.1460704849962878</v>
      </c>
      <c r="R52">
        <f t="shared" si="30"/>
        <v>0.14757847640830163</v>
      </c>
      <c r="S52" s="3">
        <f t="shared" si="28"/>
        <v>0.18332527081955158</v>
      </c>
      <c r="T52" s="2">
        <f t="shared" si="9"/>
        <v>0.5382349290277948</v>
      </c>
      <c r="U52" s="3">
        <f t="shared" si="10"/>
        <v>9.7657824365997958E-2</v>
      </c>
      <c r="V52">
        <v>0.86161616161616195</v>
      </c>
      <c r="W52" s="13">
        <f t="shared" si="27"/>
        <v>26.225064843431831</v>
      </c>
      <c r="X52" s="2">
        <f t="shared" si="11"/>
        <v>18.890044980262608</v>
      </c>
      <c r="Y52" s="3">
        <f t="shared" si="12"/>
        <v>27.865441164571838</v>
      </c>
      <c r="Z52" s="13">
        <f t="shared" si="13"/>
        <v>5.511436820572821</v>
      </c>
      <c r="AA52" s="2">
        <f t="shared" si="14"/>
        <v>0.18144088965462674</v>
      </c>
      <c r="AB52" s="3">
        <f t="shared" si="15"/>
        <v>0.17948825674100929</v>
      </c>
      <c r="AC52">
        <f t="shared" si="16"/>
        <v>3.1440784246696336E-2</v>
      </c>
      <c r="AD52" s="2">
        <f t="shared" si="17"/>
        <v>21874582.410089549</v>
      </c>
      <c r="AE52">
        <f t="shared" si="18"/>
        <v>15756370.789471788</v>
      </c>
      <c r="AF52" s="3">
        <f t="shared" si="19"/>
        <v>23242836.301340595</v>
      </c>
      <c r="AG52">
        <f t="shared" si="20"/>
        <v>-6118211.6206177603</v>
      </c>
      <c r="AI52" s="2">
        <f t="shared" si="21"/>
        <v>-278.16024415685973</v>
      </c>
      <c r="AJ52" s="2">
        <f t="shared" si="22"/>
        <v>62.206713343553076</v>
      </c>
      <c r="AK52">
        <f t="shared" si="23"/>
        <v>1368253.891251046</v>
      </c>
      <c r="AL52" s="18">
        <v>1.6689999999999999E-4</v>
      </c>
      <c r="AM52" s="18">
        <f t="shared" si="24"/>
        <v>1621.4128965702093</v>
      </c>
      <c r="AO52" s="2">
        <f t="shared" si="25"/>
        <v>151.31446294766928</v>
      </c>
      <c r="AP52" s="3">
        <f t="shared" si="26"/>
        <v>148.91034035995503</v>
      </c>
    </row>
    <row r="53" spans="1:49" ht="14.65" thickBot="1" x14ac:dyDescent="0.5">
      <c r="A53" s="2">
        <v>0.70099999999999996</v>
      </c>
      <c r="B53">
        <v>56000</v>
      </c>
      <c r="C53">
        <v>0.89090909090909098</v>
      </c>
      <c r="D53" s="5">
        <f t="shared" si="1"/>
        <v>1</v>
      </c>
      <c r="F53" s="2">
        <v>389.97</v>
      </c>
      <c r="G53" s="3">
        <v>2.8454000000000001E-4</v>
      </c>
      <c r="H53">
        <v>1.2591192124956E-2</v>
      </c>
      <c r="I53">
        <v>0.31350851536555102</v>
      </c>
      <c r="J53">
        <v>-1.0693831438342001E-2</v>
      </c>
      <c r="K53" s="13">
        <v>968.07579999999996</v>
      </c>
      <c r="L53">
        <f t="shared" si="2"/>
        <v>862.4675309090909</v>
      </c>
      <c r="M53">
        <f t="shared" si="3"/>
        <v>105.82757391118972</v>
      </c>
      <c r="N53" s="2">
        <f t="shared" si="4"/>
        <v>0.75183635697622853</v>
      </c>
      <c r="O53">
        <f t="shared" si="5"/>
        <v>0.87118571850349624</v>
      </c>
      <c r="P53" s="4">
        <f t="shared" si="6"/>
        <v>8.9977743824213224E-2</v>
      </c>
      <c r="Q53">
        <f t="shared" si="0"/>
        <v>0.15069230753142887</v>
      </c>
      <c r="R53">
        <f t="shared" si="30"/>
        <v>0.14829490714703866</v>
      </c>
      <c r="S53" s="3">
        <f t="shared" si="28"/>
        <v>0.18548805666435583</v>
      </c>
      <c r="T53" s="2">
        <f t="shared" si="9"/>
        <v>0.50342267171984034</v>
      </c>
      <c r="U53" s="3">
        <f t="shared" si="10"/>
        <v>8.6661513154671119E-2</v>
      </c>
      <c r="V53">
        <v>0.89090909090909098</v>
      </c>
      <c r="W53" s="13">
        <f t="shared" si="27"/>
        <v>24.881405069257251</v>
      </c>
      <c r="X53" s="2">
        <f t="shared" si="11"/>
        <v>18.981748114820949</v>
      </c>
      <c r="Y53" s="3">
        <f t="shared" si="12"/>
        <v>28.194184612982088</v>
      </c>
      <c r="Z53" s="13">
        <f t="shared" si="13"/>
        <v>5.8090685633580526</v>
      </c>
      <c r="AA53" s="2">
        <f t="shared" si="14"/>
        <v>0.17214463714677336</v>
      </c>
      <c r="AB53" s="3">
        <f t="shared" si="15"/>
        <v>0.17047381383540511</v>
      </c>
      <c r="AC53">
        <f t="shared" si="16"/>
        <v>2.8849091910776982E-2</v>
      </c>
      <c r="AD53" s="2">
        <f>W53*L53*1000</f>
        <v>21459403.99563124</v>
      </c>
      <c r="AE53">
        <f t="shared" si="18"/>
        <v>16371141.428927915</v>
      </c>
      <c r="AF53" s="3">
        <f t="shared" si="19"/>
        <v>24316568.789153747</v>
      </c>
      <c r="AG53">
        <f t="shared" si="20"/>
        <v>-5088262.566703327</v>
      </c>
      <c r="AI53" s="2">
        <f t="shared" si="21"/>
        <v>-231.3343253964625</v>
      </c>
      <c r="AJ53" s="2">
        <f t="shared" si="22"/>
        <v>129.89901393478715</v>
      </c>
      <c r="AK53">
        <f t="shared" si="23"/>
        <v>2857164.7935225032</v>
      </c>
      <c r="AL53" s="18">
        <v>1.6689999999999999E-4</v>
      </c>
      <c r="AM53" s="18">
        <f t="shared" si="24"/>
        <v>1767.0744442680768</v>
      </c>
      <c r="AO53" s="2">
        <f t="shared" si="25"/>
        <v>148.44252246288787</v>
      </c>
      <c r="AP53" s="3">
        <f t="shared" si="26"/>
        <v>146.31702475673973</v>
      </c>
    </row>
    <row r="54" spans="1:49" ht="14.65" thickBot="1" x14ac:dyDescent="0.5">
      <c r="A54" s="2">
        <v>0.70099999999999996</v>
      </c>
      <c r="B54">
        <v>56000</v>
      </c>
      <c r="C54">
        <v>0.92020202020202002</v>
      </c>
      <c r="D54" s="5">
        <f t="shared" si="1"/>
        <v>1</v>
      </c>
      <c r="F54" s="2">
        <v>389.97</v>
      </c>
      <c r="G54" s="3">
        <v>2.8454000000000001E-4</v>
      </c>
      <c r="H54">
        <v>1.2591192124956E-2</v>
      </c>
      <c r="I54">
        <v>0</v>
      </c>
      <c r="J54">
        <v>0</v>
      </c>
      <c r="K54" s="13">
        <v>968.07579999999996</v>
      </c>
      <c r="L54">
        <f t="shared" si="2"/>
        <v>890.82530686868665</v>
      </c>
      <c r="M54">
        <f t="shared" si="3"/>
        <v>112.90116511117853</v>
      </c>
      <c r="N54" s="2">
        <f t="shared" si="4"/>
        <v>0.75183635697622853</v>
      </c>
      <c r="O54">
        <f t="shared" si="5"/>
        <v>0.87916311571881967</v>
      </c>
      <c r="P54" s="4">
        <f t="shared" si="6"/>
        <v>8.9977743824213224E-2</v>
      </c>
      <c r="Q54">
        <f t="shared" si="0"/>
        <v>0.1555774237725629</v>
      </c>
      <c r="R54">
        <f t="shared" si="30"/>
        <v>0.14898039540485597</v>
      </c>
      <c r="S54" s="3">
        <f t="shared" si="28"/>
        <v>0.18769678965531714</v>
      </c>
      <c r="T54" s="2">
        <f t="shared" si="9"/>
        <v>0.47188175558274242</v>
      </c>
      <c r="U54" s="3">
        <f t="shared" si="10"/>
        <v>1.2591192124956E-2</v>
      </c>
      <c r="V54">
        <v>0.92020202020202002</v>
      </c>
      <c r="W54" s="19">
        <v>22.2871666666666</v>
      </c>
      <c r="X54" s="2">
        <f t="shared" si="11"/>
        <v>19.069490611821564</v>
      </c>
      <c r="Y54" s="3">
        <f t="shared" si="12"/>
        <v>28.529912027608201</v>
      </c>
      <c r="Z54" s="13">
        <v>7.2125500000000002</v>
      </c>
      <c r="AA54" s="2">
        <f t="shared" si="14"/>
        <v>0.13864721908340322</v>
      </c>
      <c r="AB54" s="3">
        <f t="shared" si="15"/>
        <v>0.13776891966342569</v>
      </c>
      <c r="AC54">
        <f t="shared" si="16"/>
        <v>2.5018560311232684E-2</v>
      </c>
      <c r="AD54" s="17">
        <v>18542658.698333301</v>
      </c>
      <c r="AE54">
        <f t="shared" si="18"/>
        <v>16987584.826105487</v>
      </c>
      <c r="AF54" s="3">
        <f t="shared" si="19"/>
        <v>25415167.636930712</v>
      </c>
      <c r="AG54">
        <f t="shared" si="20"/>
        <v>-2866387.2589613516</v>
      </c>
      <c r="AI54" s="2">
        <f t="shared" si="21"/>
        <v>-130.31830692386151</v>
      </c>
      <c r="AJ54" s="2">
        <f t="shared" si="22"/>
        <v>252.83589526350929</v>
      </c>
      <c r="AK54">
        <f t="shared" si="23"/>
        <v>5561195.5518638743</v>
      </c>
      <c r="AL54" s="18">
        <v>1.6689999999999999E-4</v>
      </c>
      <c r="AM54" s="18">
        <f t="shared" si="24"/>
        <v>2266.1412299913568</v>
      </c>
      <c r="AO54" s="17">
        <v>128.266308333333</v>
      </c>
      <c r="AP54" s="3">
        <f t="shared" si="26"/>
        <v>122.34017308041128</v>
      </c>
    </row>
    <row r="55" spans="1:49" ht="14.65" thickBot="1" x14ac:dyDescent="0.5">
      <c r="A55" s="2">
        <v>0.70099999999999996</v>
      </c>
      <c r="B55">
        <v>56000</v>
      </c>
      <c r="C55">
        <v>0.94949494949494895</v>
      </c>
      <c r="D55" s="5">
        <f t="shared" si="1"/>
        <v>1</v>
      </c>
      <c r="F55" s="2">
        <v>389.97</v>
      </c>
      <c r="G55" s="3">
        <v>2.8454000000000001E-4</v>
      </c>
      <c r="H55">
        <v>1.2591192124956E-2</v>
      </c>
      <c r="I55">
        <v>0</v>
      </c>
      <c r="J55">
        <v>0</v>
      </c>
      <c r="K55" s="13">
        <v>968.07579999999996</v>
      </c>
      <c r="L55">
        <f t="shared" si="2"/>
        <v>919.18308282828229</v>
      </c>
      <c r="M55">
        <f t="shared" si="3"/>
        <v>120.20357298132868</v>
      </c>
      <c r="N55" s="2">
        <f t="shared" si="4"/>
        <v>0.75183635697622853</v>
      </c>
      <c r="O55">
        <f t="shared" si="5"/>
        <v>0.88739856593943522</v>
      </c>
      <c r="P55" s="4">
        <f t="shared" si="6"/>
        <v>8.9977743824213224E-2</v>
      </c>
      <c r="Q55">
        <f t="shared" si="0"/>
        <v>0.16073816143560613</v>
      </c>
      <c r="R55">
        <f t="shared" si="30"/>
        <v>0.14962527520091479</v>
      </c>
      <c r="S55" s="3">
        <f t="shared" si="28"/>
        <v>0.18994662499147058</v>
      </c>
      <c r="T55" s="2">
        <f t="shared" si="9"/>
        <v>0.44321477871772913</v>
      </c>
      <c r="U55" s="3">
        <f t="shared" si="10"/>
        <v>1.2591192124956E-2</v>
      </c>
      <c r="V55">
        <v>0.94949494949494895</v>
      </c>
      <c r="W55" s="19">
        <v>19.6933333333333</v>
      </c>
      <c r="X55" s="2">
        <f t="shared" si="11"/>
        <v>19.152035225717093</v>
      </c>
      <c r="Y55" s="3">
        <f t="shared" si="12"/>
        <v>28.871886998703527</v>
      </c>
      <c r="Z55" s="13">
        <v>8.0901999999999905</v>
      </c>
      <c r="AA55" s="2">
        <f t="shared" si="14"/>
        <v>0.12360633853304012</v>
      </c>
      <c r="AB55" s="3">
        <f t="shared" si="15"/>
        <v>0.12298253947315671</v>
      </c>
      <c r="AC55">
        <f t="shared" si="16"/>
        <v>2.1424821345425393E-2</v>
      </c>
      <c r="AD55" s="17">
        <v>17407241.3866666</v>
      </c>
      <c r="AE55">
        <f t="shared" si="18"/>
        <v>17604226.781210493</v>
      </c>
      <c r="AF55" s="3">
        <f t="shared" si="19"/>
        <v>26538550.098538112</v>
      </c>
      <c r="AG55">
        <f t="shared" si="20"/>
        <v>-497552.06328778033</v>
      </c>
      <c r="AI55" s="2">
        <f t="shared" si="21"/>
        <v>-22.620859163891428</v>
      </c>
      <c r="AJ55" s="2">
        <f t="shared" si="22"/>
        <v>383.57194837963794</v>
      </c>
      <c r="AK55">
        <f t="shared" si="23"/>
        <v>8436771.254039837</v>
      </c>
      <c r="AL55" s="18">
        <v>1.6689999999999999E-4</v>
      </c>
      <c r="AM55" s="18">
        <f t="shared" si="24"/>
        <v>2622.8102377659766</v>
      </c>
      <c r="AO55" s="17">
        <v>120.412216666666</v>
      </c>
      <c r="AP55" s="3">
        <f t="shared" si="26"/>
        <v>112.75872699580712</v>
      </c>
    </row>
    <row r="56" spans="1:49" ht="14.65" thickBot="1" x14ac:dyDescent="0.5">
      <c r="A56" s="2">
        <v>0.70099999999999996</v>
      </c>
      <c r="B56">
        <v>56000</v>
      </c>
      <c r="C56">
        <v>0.97878787878787898</v>
      </c>
      <c r="D56" s="5">
        <f t="shared" si="1"/>
        <v>1</v>
      </c>
      <c r="F56" s="2">
        <v>389.97</v>
      </c>
      <c r="G56" s="3">
        <v>2.8454000000000001E-4</v>
      </c>
      <c r="H56">
        <v>1.2591192124956E-2</v>
      </c>
      <c r="I56">
        <v>0</v>
      </c>
      <c r="J56">
        <v>0</v>
      </c>
      <c r="K56" s="13">
        <v>968.07579999999996</v>
      </c>
      <c r="L56">
        <f t="shared" si="2"/>
        <v>947.54085878787896</v>
      </c>
      <c r="M56">
        <f t="shared" si="3"/>
        <v>127.73479752164049</v>
      </c>
      <c r="N56" s="2">
        <f t="shared" si="4"/>
        <v>0.75183635697622853</v>
      </c>
      <c r="O56">
        <f t="shared" si="5"/>
        <v>0.89589206916534336</v>
      </c>
      <c r="P56" s="4">
        <f t="shared" si="6"/>
        <v>8.9977743824213224E-2</v>
      </c>
      <c r="Q56">
        <f t="shared" si="0"/>
        <v>0.16618751338961785</v>
      </c>
      <c r="R56">
        <f t="shared" si="30"/>
        <v>0.15021916031704646</v>
      </c>
      <c r="S56" s="3">
        <f t="shared" si="28"/>
        <v>0.1922322938733102</v>
      </c>
      <c r="T56" s="2">
        <f t="shared" si="9"/>
        <v>0.41708290171262152</v>
      </c>
      <c r="U56" s="3">
        <f t="shared" si="10"/>
        <v>1.2591192124956E-2</v>
      </c>
      <c r="V56">
        <v>0.97878787878787898</v>
      </c>
      <c r="W56" s="19">
        <v>17.0994999999999</v>
      </c>
      <c r="X56" s="2">
        <f t="shared" si="11"/>
        <v>19.228052520581947</v>
      </c>
      <c r="Y56" s="3">
        <f t="shared" si="12"/>
        <v>29.21930866874315</v>
      </c>
      <c r="Z56" s="13">
        <v>8.9678500000000003</v>
      </c>
      <c r="AA56" s="2">
        <f t="shared" si="14"/>
        <v>0.11150944763795112</v>
      </c>
      <c r="AB56" s="3">
        <f t="shared" si="15"/>
        <v>0.11105068271582355</v>
      </c>
      <c r="AC56">
        <f t="shared" si="16"/>
        <v>1.8046187498314388E-2</v>
      </c>
      <c r="AD56" s="17">
        <v>16271824.074999999</v>
      </c>
      <c r="AE56">
        <f t="shared" si="18"/>
        <v>18219365.398170657</v>
      </c>
      <c r="AF56" s="3">
        <f t="shared" si="19"/>
        <v>27686488.829169001</v>
      </c>
      <c r="AG56">
        <f t="shared" si="20"/>
        <v>2016890.4833274188</v>
      </c>
      <c r="AI56" s="2">
        <f t="shared" si="21"/>
        <v>91.696525728110586</v>
      </c>
      <c r="AJ56" s="2">
        <f t="shared" si="22"/>
        <v>522.11272057750227</v>
      </c>
      <c r="AK56">
        <f t="shared" si="23"/>
        <v>11484013.914325761</v>
      </c>
      <c r="AL56" s="18">
        <v>1.6689999999999999E-4</v>
      </c>
      <c r="AM56" s="18">
        <f t="shared" si="24"/>
        <v>2997.035388525811</v>
      </c>
      <c r="AO56" s="17">
        <v>112.558125</v>
      </c>
      <c r="AP56" s="3">
        <f t="shared" si="26"/>
        <v>105.00891556088986</v>
      </c>
      <c r="AV56">
        <v>1.7</v>
      </c>
      <c r="AW56">
        <v>0</v>
      </c>
    </row>
    <row r="57" spans="1:49" ht="14.65" thickBot="1" x14ac:dyDescent="0.5">
      <c r="A57" s="2">
        <v>0.70099999999999996</v>
      </c>
      <c r="B57">
        <v>56000</v>
      </c>
      <c r="C57">
        <v>1.0080808080807999</v>
      </c>
      <c r="D57" s="5">
        <f t="shared" si="1"/>
        <v>1</v>
      </c>
      <c r="F57" s="2">
        <v>389.97</v>
      </c>
      <c r="G57" s="3">
        <v>2.8454000000000001E-4</v>
      </c>
      <c r="H57">
        <v>1.2591192124956E-2</v>
      </c>
      <c r="I57">
        <v>-7.8124721178269999E-3</v>
      </c>
      <c r="J57">
        <v>0</v>
      </c>
      <c r="K57" s="13">
        <v>968.07579999999996</v>
      </c>
      <c r="L57">
        <f t="shared" si="2"/>
        <v>975.89863474746676</v>
      </c>
      <c r="M57">
        <f t="shared" si="3"/>
        <v>135.49483873211119</v>
      </c>
      <c r="N57" s="2">
        <f t="shared" si="4"/>
        <v>0.75183635697622853</v>
      </c>
      <c r="O57">
        <f t="shared" si="5"/>
        <v>0.90464362539654053</v>
      </c>
      <c r="P57" s="4">
        <f t="shared" si="6"/>
        <v>8.9977743824213224E-2</v>
      </c>
      <c r="Q57">
        <f t="shared" si="0"/>
        <v>0.17193916485888641</v>
      </c>
      <c r="R57">
        <f t="shared" si="30"/>
        <v>0.15075089396936789</v>
      </c>
      <c r="S57" s="3">
        <f t="shared" si="28"/>
        <v>0.19454807174167529</v>
      </c>
      <c r="T57" s="2">
        <f t="shared" si="9"/>
        <v>0.39319578884722506</v>
      </c>
      <c r="U57" s="3">
        <f t="shared" si="10"/>
        <v>1.138336105775291E-2</v>
      </c>
      <c r="V57">
        <v>1.0080808080807999</v>
      </c>
      <c r="W57" s="19">
        <v>14.505666666666601</v>
      </c>
      <c r="X57" s="2">
        <f t="shared" si="11"/>
        <v>19.29611442807909</v>
      </c>
      <c r="Y57" s="3">
        <f t="shared" si="12"/>
        <v>29.571306904734644</v>
      </c>
      <c r="Z57" s="13">
        <v>9.8454999999999906</v>
      </c>
      <c r="AA57" s="2">
        <f t="shared" si="14"/>
        <v>0.10156924483266476</v>
      </c>
      <c r="AB57" s="3">
        <f t="shared" si="15"/>
        <v>0.10122211763336111</v>
      </c>
      <c r="AC57">
        <f t="shared" si="16"/>
        <v>1.4863907121276209E-2</v>
      </c>
      <c r="AD57" s="17">
        <v>15136406.7633333</v>
      </c>
      <c r="AE57">
        <f t="shared" si="18"/>
        <v>18831051.726293281</v>
      </c>
      <c r="AF57" s="3">
        <f t="shared" si="19"/>
        <v>28858598.036028877</v>
      </c>
      <c r="AG57">
        <f t="shared" si="20"/>
        <v>4674991.4301915076</v>
      </c>
      <c r="AI57" s="2">
        <f t="shared" si="21"/>
        <v>212.54524006183271</v>
      </c>
      <c r="AJ57" s="2">
        <f t="shared" si="22"/>
        <v>668.44067205551016</v>
      </c>
      <c r="AK57">
        <f t="shared" si="23"/>
        <v>14702537.739927104</v>
      </c>
      <c r="AL57" s="18">
        <v>1.6689999999999999E-4</v>
      </c>
      <c r="AM57" s="18">
        <f t="shared" si="24"/>
        <v>3388.8166822708122</v>
      </c>
      <c r="AO57" s="17">
        <v>104.704033333333</v>
      </c>
      <c r="AP57" s="3">
        <f t="shared" si="26"/>
        <v>98.613926538124076</v>
      </c>
      <c r="AV57">
        <v>1.7</v>
      </c>
      <c r="AW57">
        <v>60</v>
      </c>
    </row>
    <row r="58" spans="1:49" ht="14.65" thickBot="1" x14ac:dyDescent="0.5">
      <c r="A58" s="2">
        <v>0.70099999999999996</v>
      </c>
      <c r="B58">
        <v>56000</v>
      </c>
      <c r="C58">
        <v>1.03737373737373</v>
      </c>
      <c r="D58" s="5">
        <f t="shared" si="1"/>
        <v>1</v>
      </c>
      <c r="F58" s="2">
        <v>389.97</v>
      </c>
      <c r="G58" s="3">
        <v>2.8454000000000001E-4</v>
      </c>
      <c r="H58">
        <v>1.2591192124956E-2</v>
      </c>
      <c r="I58">
        <v>0.347885504652374</v>
      </c>
      <c r="J58">
        <v>0</v>
      </c>
      <c r="K58" s="13">
        <v>968.07579999999996</v>
      </c>
      <c r="L58">
        <f t="shared" si="2"/>
        <v>1004.2564107070635</v>
      </c>
      <c r="M58">
        <f t="shared" si="3"/>
        <v>143.48369661274577</v>
      </c>
      <c r="N58" s="2">
        <f t="shared" si="4"/>
        <v>0.75183635697622853</v>
      </c>
      <c r="O58">
        <f t="shared" si="5"/>
        <v>0.91365323463303272</v>
      </c>
      <c r="P58" s="4">
        <f t="shared" si="6"/>
        <v>8.9977743824213224E-2</v>
      </c>
      <c r="Q58">
        <f t="shared" si="0"/>
        <v>0.17800752174233514</v>
      </c>
      <c r="R58">
        <f t="shared" si="30"/>
        <v>0.15120849604529732</v>
      </c>
      <c r="S58" s="3">
        <f t="shared" si="28"/>
        <v>0.19688774521325464</v>
      </c>
      <c r="T58" s="2">
        <f t="shared" si="9"/>
        <v>0.37130350874489143</v>
      </c>
      <c r="U58" s="3">
        <f t="shared" si="10"/>
        <v>6.0552877946495803E-2</v>
      </c>
      <c r="V58">
        <v>1.03737373737373</v>
      </c>
      <c r="W58" s="19">
        <v>11.9118333333333</v>
      </c>
      <c r="X58" s="2">
        <f t="shared" si="11"/>
        <v>19.354687493798057</v>
      </c>
      <c r="Y58" s="3">
        <f t="shared" si="12"/>
        <v>29.926937272414705</v>
      </c>
      <c r="Z58" s="13">
        <v>10.72315</v>
      </c>
      <c r="AA58" s="2">
        <f t="shared" si="14"/>
        <v>9.3256179387586666E-2</v>
      </c>
      <c r="AB58" s="3">
        <f t="shared" si="15"/>
        <v>9.2987240525229373E-2</v>
      </c>
      <c r="AC58">
        <f t="shared" si="16"/>
        <v>1.1861346570789202E-2</v>
      </c>
      <c r="AD58" s="17">
        <v>14000989.451666599</v>
      </c>
      <c r="AE58">
        <f t="shared" si="18"/>
        <v>19437068.99287853</v>
      </c>
      <c r="AF58" s="3">
        <f t="shared" si="19"/>
        <v>30054318.608650628</v>
      </c>
      <c r="AG58">
        <f t="shared" si="20"/>
        <v>7474534.0046044728</v>
      </c>
      <c r="AI58" s="2">
        <f t="shared" si="21"/>
        <v>339.82449980532061</v>
      </c>
      <c r="AJ58" s="2">
        <f t="shared" si="22"/>
        <v>822.53038324439262</v>
      </c>
      <c r="AK58">
        <f t="shared" si="23"/>
        <v>18091783.620376572</v>
      </c>
      <c r="AL58" s="18">
        <v>1.6689999999999999E-4</v>
      </c>
      <c r="AM58" s="18">
        <f t="shared" si="24"/>
        <v>3798.1541190010539</v>
      </c>
      <c r="AO58" s="2">
        <v>96.849941666666595</v>
      </c>
      <c r="AP58" s="3">
        <f t="shared" si="26"/>
        <v>93.248515873625735</v>
      </c>
    </row>
    <row r="59" spans="1:49" ht="14.65" thickBot="1" x14ac:dyDescent="0.5">
      <c r="A59" s="2">
        <v>0.70099999999999996</v>
      </c>
      <c r="B59">
        <v>56000</v>
      </c>
      <c r="C59">
        <v>1.06666666666666</v>
      </c>
      <c r="D59" s="5">
        <f t="shared" si="1"/>
        <v>1</v>
      </c>
      <c r="F59" s="2">
        <v>389.97</v>
      </c>
      <c r="G59" s="3">
        <v>2.8454000000000001E-4</v>
      </c>
      <c r="H59">
        <v>1.2591192124956E-2</v>
      </c>
      <c r="I59">
        <v>8.1485713979185997E-2</v>
      </c>
      <c r="J59">
        <v>0</v>
      </c>
      <c r="K59" s="13">
        <v>968.07579999999996</v>
      </c>
      <c r="L59">
        <f t="shared" si="2"/>
        <v>1032.6141866666601</v>
      </c>
      <c r="M59">
        <f t="shared" si="3"/>
        <v>151.70137116354161</v>
      </c>
      <c r="N59" s="2">
        <f t="shared" si="4"/>
        <v>0.75183635697622853</v>
      </c>
      <c r="O59">
        <f t="shared" si="5"/>
        <v>0.92292089687481704</v>
      </c>
      <c r="P59" s="4">
        <f t="shared" si="6"/>
        <v>8.9977743824213224E-2</v>
      </c>
      <c r="Q59">
        <f t="shared" si="0"/>
        <v>0.18440774007251237</v>
      </c>
      <c r="R59">
        <f t="shared" si="30"/>
        <v>0.15157910781025213</v>
      </c>
      <c r="S59" s="3">
        <f t="shared" si="28"/>
        <v>0.19924457765237799</v>
      </c>
      <c r="T59" s="2">
        <f t="shared" si="9"/>
        <v>0.35118997007987374</v>
      </c>
      <c r="U59" s="3">
        <f t="shared" si="10"/>
        <v>2.2641183366623997E-2</v>
      </c>
      <c r="V59">
        <v>1.06666666666666</v>
      </c>
      <c r="W59" s="13">
        <f t="shared" si="27"/>
        <v>9.3183371973007532</v>
      </c>
      <c r="X59" s="2">
        <f t="shared" si="11"/>
        <v>19.402125799712273</v>
      </c>
      <c r="Y59" s="3">
        <f t="shared" si="12"/>
        <v>30.285175803161454</v>
      </c>
      <c r="Z59" s="13">
        <f t="shared" si="13"/>
        <v>15.511113725511922</v>
      </c>
      <c r="AA59" s="2">
        <f t="shared" si="14"/>
        <v>6.4469903173699827E-2</v>
      </c>
      <c r="AB59" s="3">
        <f t="shared" si="15"/>
        <v>6.4380805040084352E-2</v>
      </c>
      <c r="AC59">
        <f t="shared" si="16"/>
        <v>9.0240259310991056E-3</v>
      </c>
      <c r="AD59" s="2">
        <f t="shared" si="17"/>
        <v>9622247.1860764008</v>
      </c>
      <c r="AE59">
        <f t="shared" si="18"/>
        <v>20034910.352274109</v>
      </c>
      <c r="AF59" s="3">
        <f t="shared" si="19"/>
        <v>31272902.180038378</v>
      </c>
      <c r="AG59">
        <f t="shared" si="20"/>
        <v>10412663.16619771</v>
      </c>
      <c r="AI59" s="2">
        <f t="shared" si="21"/>
        <v>473.40450253014365</v>
      </c>
      <c r="AJ59" s="2">
        <f t="shared" si="22"/>
        <v>984.33199972712237</v>
      </c>
      <c r="AK59">
        <f t="shared" si="23"/>
        <v>21650654.993961979</v>
      </c>
      <c r="AL59" s="18">
        <v>1.6689999999999999E-4</v>
      </c>
      <c r="AM59" s="18">
        <f t="shared" si="24"/>
        <v>5649.196206339564</v>
      </c>
      <c r="AO59" s="2">
        <f t="shared" si="25"/>
        <v>66.560592472810185</v>
      </c>
      <c r="AP59" s="3">
        <f t="shared" si="26"/>
        <v>66.434616422692983</v>
      </c>
    </row>
    <row r="60" spans="1:49" ht="14.65" thickBot="1" x14ac:dyDescent="0.5">
      <c r="A60" s="2">
        <v>0.70099999999999996</v>
      </c>
      <c r="B60">
        <v>56000</v>
      </c>
      <c r="C60">
        <v>1.09595959595959</v>
      </c>
      <c r="D60" s="5">
        <f t="shared" si="1"/>
        <v>1</v>
      </c>
      <c r="F60" s="2">
        <v>389.97</v>
      </c>
      <c r="G60" s="3">
        <v>2.8454000000000001E-4</v>
      </c>
      <c r="H60">
        <v>1.2591192124956E-2</v>
      </c>
      <c r="I60">
        <v>6.9707789419606994E-2</v>
      </c>
      <c r="J60">
        <v>0</v>
      </c>
      <c r="K60" s="13">
        <v>968.07579999999996</v>
      </c>
      <c r="L60">
        <f t="shared" si="2"/>
        <v>1060.9719626262568</v>
      </c>
      <c r="M60">
        <f t="shared" si="3"/>
        <v>160.14786238449892</v>
      </c>
      <c r="N60" s="2">
        <f t="shared" si="4"/>
        <v>0.75183635697622853</v>
      </c>
      <c r="O60">
        <f t="shared" si="5"/>
        <v>0.93244661212189339</v>
      </c>
      <c r="P60" s="4">
        <f t="shared" si="6"/>
        <v>8.9977743824213224E-2</v>
      </c>
      <c r="Q60">
        <f t="shared" si="0"/>
        <v>0.1911557566368895</v>
      </c>
      <c r="R60">
        <f t="shared" si="30"/>
        <v>0.15184893398640267</v>
      </c>
      <c r="S60" s="3">
        <f t="shared" si="28"/>
        <v>0.20161127332160195</v>
      </c>
      <c r="T60" s="2">
        <f t="shared" si="9"/>
        <v>0.33266756862535996</v>
      </c>
      <c r="U60" s="3">
        <f t="shared" si="10"/>
        <v>2.0305593633888668E-2</v>
      </c>
      <c r="V60">
        <v>1.09595959595959</v>
      </c>
      <c r="W60" s="13">
        <f t="shared" si="27"/>
        <v>8.822397686665914</v>
      </c>
      <c r="X60" s="2">
        <f t="shared" si="11"/>
        <v>19.436663550259542</v>
      </c>
      <c r="Y60" s="3">
        <f t="shared" si="12"/>
        <v>30.644913544883497</v>
      </c>
      <c r="Z60" s="13">
        <f t="shared" si="13"/>
        <v>16.383050632420822</v>
      </c>
      <c r="AA60" s="2">
        <f t="shared" si="14"/>
        <v>6.1038693124775882E-2</v>
      </c>
      <c r="AB60" s="3">
        <f t="shared" si="15"/>
        <v>6.0963057729000722E-2</v>
      </c>
      <c r="AC60">
        <f t="shared" si="16"/>
        <v>8.3153919212224613E-3</v>
      </c>
      <c r="AD60" s="2">
        <f t="shared" si="17"/>
        <v>9360316.588691283</v>
      </c>
      <c r="AE60">
        <f t="shared" si="18"/>
        <v>20621755.073825095</v>
      </c>
      <c r="AF60" s="3">
        <f t="shared" si="19"/>
        <v>32513394.068227004</v>
      </c>
      <c r="AG60">
        <f t="shared" si="20"/>
        <v>11261438.485133812</v>
      </c>
      <c r="AI60" s="2">
        <f t="shared" si="21"/>
        <v>511.99348319795257</v>
      </c>
      <c r="AJ60" s="2">
        <f t="shared" si="22"/>
        <v>1052.638595073648</v>
      </c>
      <c r="AK60">
        <f t="shared" si="23"/>
        <v>23153077.479535721</v>
      </c>
      <c r="AL60" s="18">
        <v>1.6689999999999999E-4</v>
      </c>
      <c r="AM60" s="18">
        <f t="shared" si="24"/>
        <v>6130.6182004203674</v>
      </c>
      <c r="AO60" s="2">
        <f t="shared" si="25"/>
        <v>64.748723019493895</v>
      </c>
      <c r="AP60" s="3">
        <f t="shared" si="26"/>
        <v>64.640038582070957</v>
      </c>
    </row>
    <row r="61" spans="1:49" ht="14.65" thickBot="1" x14ac:dyDescent="0.5">
      <c r="A61" s="2">
        <v>0.70099999999999996</v>
      </c>
      <c r="B61">
        <v>56000</v>
      </c>
      <c r="C61">
        <v>1.1252525252525201</v>
      </c>
      <c r="D61" s="5">
        <f t="shared" si="1"/>
        <v>1</v>
      </c>
      <c r="F61" s="2">
        <v>389.97</v>
      </c>
      <c r="G61" s="3">
        <v>2.8454000000000001E-4</v>
      </c>
      <c r="H61">
        <v>1.2591192124956E-2</v>
      </c>
      <c r="I61">
        <v>6.7768462942261007E-2</v>
      </c>
      <c r="J61">
        <v>0</v>
      </c>
      <c r="K61" s="13">
        <v>968.07579999999996</v>
      </c>
      <c r="L61">
        <f t="shared" si="2"/>
        <v>1089.3297385858534</v>
      </c>
      <c r="M61">
        <f t="shared" si="3"/>
        <v>168.8231702756176</v>
      </c>
      <c r="N61" s="2">
        <f t="shared" si="4"/>
        <v>0.75183635697622853</v>
      </c>
      <c r="O61">
        <f t="shared" si="5"/>
        <v>0.94223038037426188</v>
      </c>
      <c r="P61" s="4">
        <f t="shared" si="6"/>
        <v>8.9977743824213224E-2</v>
      </c>
      <c r="Q61">
        <f t="shared" si="0"/>
        <v>0.19826832078449733</v>
      </c>
      <c r="R61">
        <f t="shared" si="30"/>
        <v>0.15200318210392744</v>
      </c>
      <c r="S61" s="3">
        <f t="shared" si="28"/>
        <v>0.20397994005576042</v>
      </c>
      <c r="T61" s="2">
        <f t="shared" si="9"/>
        <v>0.31557279674953731</v>
      </c>
      <c r="U61" s="3">
        <f t="shared" si="10"/>
        <v>1.933999515480686E-2</v>
      </c>
      <c r="V61">
        <v>1.1252525252525201</v>
      </c>
      <c r="W61" s="13">
        <f t="shared" si="27"/>
        <v>8.8580516077408049</v>
      </c>
      <c r="X61" s="2">
        <f t="shared" si="11"/>
        <v>19.456407309302712</v>
      </c>
      <c r="Y61" s="3">
        <f t="shared" si="12"/>
        <v>31.004950888475584</v>
      </c>
      <c r="Z61" s="13">
        <f t="shared" si="13"/>
        <v>16.317108366550094</v>
      </c>
      <c r="AA61" s="2">
        <f t="shared" si="14"/>
        <v>6.1285368555251483E-2</v>
      </c>
      <c r="AB61" s="3">
        <f t="shared" si="15"/>
        <v>6.1208813835276869E-2</v>
      </c>
      <c r="AC61">
        <f t="shared" si="16"/>
        <v>8.1316531569588426E-3</v>
      </c>
      <c r="AD61" s="2">
        <f t="shared" si="17"/>
        <v>9649339.04224029</v>
      </c>
      <c r="AE61">
        <f t="shared" si="18"/>
        <v>21194443.08806261</v>
      </c>
      <c r="AF61" s="3">
        <f t="shared" si="19"/>
        <v>33774615.046210334</v>
      </c>
      <c r="AG61">
        <f t="shared" si="20"/>
        <v>11545104.045822321</v>
      </c>
      <c r="AI61" s="2">
        <f t="shared" si="21"/>
        <v>524.89014099810254</v>
      </c>
      <c r="AJ61" s="2">
        <f t="shared" si="22"/>
        <v>1096.8389261008192</v>
      </c>
      <c r="AK61">
        <f t="shared" si="23"/>
        <v>24125276.003970046</v>
      </c>
      <c r="AL61" s="18">
        <v>1.6689999999999999E-4</v>
      </c>
      <c r="AM61" s="18">
        <f t="shared" si="24"/>
        <v>6269.1425804664268</v>
      </c>
      <c r="AO61" s="2">
        <f t="shared" si="25"/>
        <v>66.747996720756134</v>
      </c>
      <c r="AP61" s="3">
        <f t="shared" si="26"/>
        <v>66.634954794304292</v>
      </c>
    </row>
    <row r="62" spans="1:49" ht="14.65" thickBot="1" x14ac:dyDescent="0.5">
      <c r="A62" s="2">
        <v>0.70099999999999996</v>
      </c>
      <c r="B62">
        <v>56000</v>
      </c>
      <c r="C62">
        <v>1.1545454545454501</v>
      </c>
      <c r="D62" s="5">
        <f t="shared" si="1"/>
        <v>1</v>
      </c>
      <c r="F62" s="2">
        <v>389.97</v>
      </c>
      <c r="G62" s="3">
        <v>2.8454000000000001E-4</v>
      </c>
      <c r="H62">
        <v>1.2591192124956E-2</v>
      </c>
      <c r="I62">
        <v>6.8340689415613998E-2</v>
      </c>
      <c r="J62">
        <v>0</v>
      </c>
      <c r="K62" s="13">
        <v>968.07579999999996</v>
      </c>
      <c r="L62">
        <f t="shared" si="2"/>
        <v>1117.6875145454501</v>
      </c>
      <c r="M62">
        <f t="shared" si="3"/>
        <v>177.72729483689767</v>
      </c>
      <c r="N62" s="2">
        <f t="shared" si="4"/>
        <v>0.75183635697622853</v>
      </c>
      <c r="O62">
        <f t="shared" si="5"/>
        <v>0.95227220163192261</v>
      </c>
      <c r="P62" s="4">
        <f t="shared" si="6"/>
        <v>8.9977743824213224E-2</v>
      </c>
      <c r="Q62">
        <f t="shared" si="0"/>
        <v>0.20576302744133029</v>
      </c>
      <c r="R62">
        <f t="shared" si="30"/>
        <v>0.15202599902329461</v>
      </c>
      <c r="S62" s="3">
        <f t="shared" si="28"/>
        <v>0.20634205040587403</v>
      </c>
      <c r="T62" s="2">
        <f t="shared" si="9"/>
        <v>0.29976262255548303</v>
      </c>
      <c r="U62" s="3">
        <f t="shared" si="10"/>
        <v>1.8732124500299919E-2</v>
      </c>
      <c r="V62">
        <v>1.1545454545454501</v>
      </c>
      <c r="W62" s="13">
        <f t="shared" si="27"/>
        <v>9.0321462253447713</v>
      </c>
      <c r="X62" s="2">
        <f t="shared" si="11"/>
        <v>19.45932787498171</v>
      </c>
      <c r="Y62" s="3">
        <f t="shared" si="12"/>
        <v>31.363991661692854</v>
      </c>
      <c r="Z62" s="13">
        <f t="shared" si="13"/>
        <v>16.002596104391873</v>
      </c>
      <c r="AA62" s="2">
        <f t="shared" si="14"/>
        <v>6.2489860612401034E-2</v>
      </c>
      <c r="AB62" s="3">
        <f t="shared" si="15"/>
        <v>6.2408710054853211E-2</v>
      </c>
      <c r="AC62">
        <f t="shared" si="16"/>
        <v>8.0811014776505184E-3</v>
      </c>
      <c r="AD62" s="2">
        <f t="shared" si="17"/>
        <v>10095117.065616667</v>
      </c>
      <c r="AE62">
        <f t="shared" si="18"/>
        <v>21749447.807313304</v>
      </c>
      <c r="AF62" s="3">
        <f t="shared" si="19"/>
        <v>35055141.886581704</v>
      </c>
      <c r="AG62">
        <f t="shared" si="20"/>
        <v>11654330.741696637</v>
      </c>
      <c r="AI62" s="2">
        <f t="shared" si="21"/>
        <v>529.85605690242676</v>
      </c>
      <c r="AJ62" s="2">
        <f t="shared" si="22"/>
        <v>1134.7902015948716</v>
      </c>
      <c r="AK62">
        <f t="shared" si="23"/>
        <v>24960024.82096504</v>
      </c>
      <c r="AL62" s="18">
        <v>1.6689999999999999E-4</v>
      </c>
      <c r="AM62" s="18">
        <f t="shared" si="24"/>
        <v>6308.3594726366791</v>
      </c>
      <c r="AO62" s="2">
        <f t="shared" si="25"/>
        <v>69.831605858362252</v>
      </c>
      <c r="AP62" s="3">
        <f t="shared" si="26"/>
        <v>69.708165016382878</v>
      </c>
    </row>
    <row r="63" spans="1:49" ht="14.65" thickBot="1" x14ac:dyDescent="0.5">
      <c r="A63" s="2">
        <v>0.70099999999999996</v>
      </c>
      <c r="B63">
        <v>56000</v>
      </c>
      <c r="C63">
        <v>1.1838383838383799</v>
      </c>
      <c r="D63" s="5">
        <f t="shared" si="1"/>
        <v>1</v>
      </c>
      <c r="F63" s="2">
        <v>389.97</v>
      </c>
      <c r="G63" s="3">
        <v>2.8454000000000001E-4</v>
      </c>
      <c r="H63">
        <v>1.2591192124956E-2</v>
      </c>
      <c r="I63">
        <v>6.9861491244209997E-2</v>
      </c>
      <c r="J63">
        <v>0</v>
      </c>
      <c r="K63" s="13">
        <v>968.07579999999996</v>
      </c>
      <c r="L63">
        <f t="shared" si="2"/>
        <v>1146.0452905050468</v>
      </c>
      <c r="M63">
        <f t="shared" si="3"/>
        <v>186.86023606833916</v>
      </c>
      <c r="N63" s="2">
        <f t="shared" si="4"/>
        <v>0.75183635697622853</v>
      </c>
      <c r="O63">
        <f t="shared" si="5"/>
        <v>0.96257207589487537</v>
      </c>
      <c r="P63" s="4">
        <f t="shared" si="6"/>
        <v>8.9977743824213224E-2</v>
      </c>
      <c r="Q63">
        <f t="shared" si="0"/>
        <v>0.21365835135827616</v>
      </c>
      <c r="R63">
        <f t="shared" si="30"/>
        <v>0.15190040452515743</v>
      </c>
      <c r="S63" s="3">
        <f t="shared" si="28"/>
        <v>0.20868840120063514</v>
      </c>
      <c r="T63" s="2">
        <f t="shared" si="9"/>
        <v>0.28511148824898047</v>
      </c>
      <c r="U63" s="3">
        <f t="shared" si="10"/>
        <v>1.8270132198757508E-2</v>
      </c>
      <c r="V63">
        <v>1.1838383838383799</v>
      </c>
      <c r="W63" s="13">
        <f t="shared" si="27"/>
        <v>9.2620767780844737</v>
      </c>
      <c r="X63" s="2">
        <f t="shared" si="11"/>
        <v>19.443251779220152</v>
      </c>
      <c r="Y63" s="3">
        <f t="shared" si="12"/>
        <v>31.72063698249654</v>
      </c>
      <c r="Z63" s="13">
        <f t="shared" si="13"/>
        <v>15.605332525638209</v>
      </c>
      <c r="AA63" s="2">
        <f t="shared" si="14"/>
        <v>6.408065950258264E-2</v>
      </c>
      <c r="AB63" s="3">
        <f t="shared" si="15"/>
        <v>6.3993162844554058E-2</v>
      </c>
      <c r="AC63">
        <f t="shared" si="16"/>
        <v>8.081772033636473E-3</v>
      </c>
      <c r="AD63" s="2">
        <f t="shared" si="17"/>
        <v>10614759.471819868</v>
      </c>
      <c r="AE63">
        <f t="shared" si="18"/>
        <v>22282847.133679125</v>
      </c>
      <c r="AF63" s="3">
        <f t="shared" si="19"/>
        <v>36353286.625610374</v>
      </c>
      <c r="AG63">
        <f t="shared" si="20"/>
        <v>11668087.661859255</v>
      </c>
      <c r="AI63" s="2">
        <f t="shared" si="21"/>
        <v>530.48150572776399</v>
      </c>
      <c r="AJ63" s="2">
        <f t="shared" si="22"/>
        <v>1170.1842697316572</v>
      </c>
      <c r="AK63">
        <f t="shared" si="23"/>
        <v>25738527.153790511</v>
      </c>
      <c r="AL63" s="18">
        <v>1.6689999999999999E-4</v>
      </c>
      <c r="AM63" s="18">
        <f t="shared" si="24"/>
        <v>6307.8360591837472</v>
      </c>
      <c r="AO63" s="2">
        <f t="shared" si="25"/>
        <v>73.426161866124232</v>
      </c>
      <c r="AP63" s="3">
        <f t="shared" si="26"/>
        <v>73.289017713693795</v>
      </c>
    </row>
    <row r="64" spans="1:49" ht="14.65" thickBot="1" x14ac:dyDescent="0.5">
      <c r="A64" s="2">
        <v>0.70099999999999996</v>
      </c>
      <c r="B64">
        <v>56000</v>
      </c>
      <c r="C64">
        <v>1.21313131313131</v>
      </c>
      <c r="D64" s="5">
        <f t="shared" si="1"/>
        <v>1</v>
      </c>
      <c r="F64" s="2">
        <v>389.97</v>
      </c>
      <c r="G64" s="3">
        <v>2.8454000000000001E-4</v>
      </c>
      <c r="H64">
        <v>1.2591192124956E-2</v>
      </c>
      <c r="I64">
        <v>7.1810239505036996E-2</v>
      </c>
      <c r="J64">
        <v>0</v>
      </c>
      <c r="K64" s="13">
        <v>968.07579999999996</v>
      </c>
      <c r="L64">
        <f t="shared" si="2"/>
        <v>1174.4030664646434</v>
      </c>
      <c r="M64">
        <f t="shared" si="3"/>
        <v>196.22199396994199</v>
      </c>
      <c r="N64" s="2">
        <f t="shared" si="4"/>
        <v>0.75183635697622853</v>
      </c>
      <c r="O64">
        <f t="shared" si="5"/>
        <v>0.97313000316312037</v>
      </c>
      <c r="P64" s="4">
        <f t="shared" si="6"/>
        <v>8.9977743824213224E-2</v>
      </c>
      <c r="Q64">
        <f t="shared" si="0"/>
        <v>0.2219736826156575</v>
      </c>
      <c r="R64">
        <f t="shared" si="30"/>
        <v>0.15160822186251166</v>
      </c>
      <c r="S64" s="3">
        <f t="shared" si="28"/>
        <v>0.21100907147421852</v>
      </c>
      <c r="T64" s="2">
        <f t="shared" si="9"/>
        <v>0.27150880959940205</v>
      </c>
      <c r="U64" s="3">
        <f t="shared" si="10"/>
        <v>1.7884829969841837E-2</v>
      </c>
      <c r="V64">
        <v>1.21313131313131</v>
      </c>
      <c r="W64" s="13">
        <f t="shared" si="27"/>
        <v>9.5209940569189495</v>
      </c>
      <c r="X64" s="2">
        <f t="shared" si="11"/>
        <v>19.405852398401493</v>
      </c>
      <c r="Y64" s="3">
        <f t="shared" si="12"/>
        <v>32.073378864081214</v>
      </c>
      <c r="Z64" s="13">
        <f t="shared" si="13"/>
        <v>15.180955595173774</v>
      </c>
      <c r="AA64" s="2">
        <f t="shared" si="14"/>
        <v>6.587200612838319E-2</v>
      </c>
      <c r="AB64" s="3">
        <f t="shared" si="15"/>
        <v>6.5776977870207809E-2</v>
      </c>
      <c r="AC64">
        <f t="shared" si="16"/>
        <v>8.1070922997335242E-3</v>
      </c>
      <c r="AD64" s="2">
        <f t="shared" si="17"/>
        <v>11181484.61623726</v>
      </c>
      <c r="AE64">
        <f t="shared" si="18"/>
        <v>22790292.564042967</v>
      </c>
      <c r="AF64" s="3">
        <f t="shared" si="19"/>
        <v>37667074.489859261</v>
      </c>
      <c r="AG64">
        <f t="shared" si="20"/>
        <v>11608807.94780571</v>
      </c>
      <c r="AI64" s="2">
        <f t="shared" si="21"/>
        <v>527.78639467944458</v>
      </c>
      <c r="AJ64" s="2">
        <f t="shared" si="22"/>
        <v>1204.1489576885983</v>
      </c>
      <c r="AK64">
        <f t="shared" si="23"/>
        <v>26485589.873621996</v>
      </c>
      <c r="AL64" s="18">
        <v>1.6689999999999999E-4</v>
      </c>
      <c r="AM64" s="18">
        <f t="shared" si="24"/>
        <v>6288.1352735493765</v>
      </c>
      <c r="AO64" s="2">
        <f t="shared" si="25"/>
        <v>77.346406342512708</v>
      </c>
      <c r="AP64" s="3">
        <f t="shared" si="26"/>
        <v>77.192992397141296</v>
      </c>
      <c r="AR64" s="10" t="s">
        <v>10</v>
      </c>
      <c r="AS64" s="14" t="s">
        <v>50</v>
      </c>
      <c r="AT64" s="9" t="s">
        <v>48</v>
      </c>
    </row>
    <row r="65" spans="1:69" ht="14.65" thickBot="1" x14ac:dyDescent="0.5">
      <c r="A65" s="2">
        <v>0.70099999999999996</v>
      </c>
      <c r="B65">
        <v>56000</v>
      </c>
      <c r="C65">
        <v>1.24242424242424</v>
      </c>
      <c r="D65" s="5">
        <f t="shared" si="1"/>
        <v>1</v>
      </c>
      <c r="F65" s="2">
        <v>389.97</v>
      </c>
      <c r="G65" s="3">
        <v>2.8454000000000001E-4</v>
      </c>
      <c r="H65">
        <v>1.2591192124956E-2</v>
      </c>
      <c r="I65">
        <v>7.3970272631459999E-2</v>
      </c>
      <c r="J65">
        <v>0</v>
      </c>
      <c r="K65" s="13">
        <v>968.07579999999996</v>
      </c>
      <c r="L65">
        <f t="shared" si="2"/>
        <v>1202.7608424242401</v>
      </c>
      <c r="M65">
        <f t="shared" si="3"/>
        <v>205.81256854170627</v>
      </c>
      <c r="N65" s="2">
        <f t="shared" si="4"/>
        <v>0.75183635697622853</v>
      </c>
      <c r="O65">
        <f t="shared" si="5"/>
        <v>0.9839459834366574</v>
      </c>
      <c r="P65" s="4">
        <f t="shared" si="6"/>
        <v>8.9977743824213224E-2</v>
      </c>
      <c r="Q65">
        <f t="shared" si="0"/>
        <v>0.23072936340878203</v>
      </c>
      <c r="R65">
        <f t="shared" si="30"/>
        <v>0.15113000516781896</v>
      </c>
      <c r="S65" s="3">
        <f t="shared" si="28"/>
        <v>0.21329337870997109</v>
      </c>
      <c r="T65" s="2">
        <f t="shared" si="9"/>
        <v>0.2588568831218101</v>
      </c>
      <c r="U65" s="3">
        <f t="shared" si="10"/>
        <v>1.7547709746088803E-2</v>
      </c>
      <c r="V65">
        <v>1.24242424242424</v>
      </c>
      <c r="W65" s="13">
        <f t="shared" si="27"/>
        <v>9.7981058899338151</v>
      </c>
      <c r="X65" s="2">
        <f t="shared" si="11"/>
        <v>19.344640661480831</v>
      </c>
      <c r="Y65" s="3">
        <f t="shared" si="12"/>
        <v>32.420593563915602</v>
      </c>
      <c r="Z65" s="13">
        <f t="shared" si="13"/>
        <v>14.751605016689231</v>
      </c>
      <c r="AA65" s="2">
        <f t="shared" si="14"/>
        <v>6.7789233704986671E-2</v>
      </c>
      <c r="AB65" s="3">
        <f t="shared" si="15"/>
        <v>6.7685679975717727E-2</v>
      </c>
      <c r="AC65">
        <f t="shared" si="16"/>
        <v>8.1463459270798323E-3</v>
      </c>
      <c r="AD65" s="2">
        <f t="shared" si="17"/>
        <v>11784778.094338704</v>
      </c>
      <c r="AE65">
        <f t="shared" si="18"/>
        <v>23266976.298396893</v>
      </c>
      <c r="AF65" s="3">
        <f t="shared" si="19"/>
        <v>38994220.426829025</v>
      </c>
      <c r="AG65">
        <f t="shared" si="20"/>
        <v>11482198.204058187</v>
      </c>
      <c r="AI65" s="2">
        <f t="shared" si="21"/>
        <v>522.03017057062698</v>
      </c>
      <c r="AJ65" s="2">
        <f t="shared" si="22"/>
        <v>1237.0584072430786</v>
      </c>
      <c r="AK65">
        <f t="shared" si="23"/>
        <v>27209442.332490318</v>
      </c>
      <c r="AL65" s="18">
        <v>1.6689999999999999E-4</v>
      </c>
      <c r="AM65" s="18">
        <f t="shared" si="24"/>
        <v>6257.8355390499401</v>
      </c>
      <c r="AO65" s="2">
        <f t="shared" si="25"/>
        <v>81.519607317386885</v>
      </c>
      <c r="AP65" s="3">
        <f t="shared" si="26"/>
        <v>81.347538644145672</v>
      </c>
      <c r="AR65">
        <v>0.1</v>
      </c>
      <c r="AS65">
        <v>1796.7639714282902</v>
      </c>
      <c r="AT65">
        <v>11.444306195068082</v>
      </c>
      <c r="AU65">
        <v>11.250033829121103</v>
      </c>
      <c r="AV65">
        <v>1886.6021699997048</v>
      </c>
      <c r="AW65">
        <v>9.6561333520886947</v>
      </c>
      <c r="AX65">
        <v>10.071701387807879</v>
      </c>
      <c r="BG65" s="10" t="s">
        <v>10</v>
      </c>
      <c r="BH65" s="14" t="s">
        <v>50</v>
      </c>
      <c r="BI65" t="s">
        <v>49</v>
      </c>
    </row>
    <row r="66" spans="1:69" ht="14.65" thickBot="1" x14ac:dyDescent="0.5">
      <c r="A66" s="2">
        <v>0.70099999999999996</v>
      </c>
      <c r="B66">
        <v>56000</v>
      </c>
      <c r="C66">
        <v>1.27171717171717</v>
      </c>
      <c r="D66" s="5">
        <f t="shared" si="1"/>
        <v>1</v>
      </c>
      <c r="F66" s="2">
        <v>389.97</v>
      </c>
      <c r="G66" s="3">
        <v>2.8454000000000001E-4</v>
      </c>
      <c r="H66">
        <v>1.2591192124956E-2</v>
      </c>
      <c r="I66">
        <v>7.6238493876566005E-2</v>
      </c>
      <c r="J66">
        <v>0</v>
      </c>
      <c r="K66" s="13">
        <v>968.07579999999996</v>
      </c>
      <c r="L66">
        <f t="shared" si="2"/>
        <v>1231.1186183838367</v>
      </c>
      <c r="M66">
        <f t="shared" si="3"/>
        <v>215.63195978363191</v>
      </c>
      <c r="N66" s="2">
        <f t="shared" si="4"/>
        <v>0.75183635697622853</v>
      </c>
      <c r="O66">
        <f t="shared" si="5"/>
        <v>0.99502001671548646</v>
      </c>
      <c r="P66" s="4">
        <f t="shared" si="6"/>
        <v>8.9977743824213224E-2</v>
      </c>
      <c r="Q66">
        <f t="shared" si="0"/>
        <v>0.23994672613919985</v>
      </c>
      <c r="R66">
        <f t="shared" si="30"/>
        <v>0.15044496360584808</v>
      </c>
      <c r="S66" s="3">
        <f t="shared" si="28"/>
        <v>0.21552983335015252</v>
      </c>
      <c r="T66" s="2">
        <f t="shared" si="9"/>
        <v>0.24706912673547035</v>
      </c>
      <c r="U66" s="3">
        <f t="shared" si="10"/>
        <v>1.724503020056772E-2</v>
      </c>
      <c r="V66">
        <v>1.27171717171717</v>
      </c>
      <c r="W66" s="13">
        <f t="shared" si="27"/>
        <v>10.088506613988901</v>
      </c>
      <c r="X66" s="2">
        <f t="shared" si="11"/>
        <v>19.256955341548554</v>
      </c>
      <c r="Y66" s="3">
        <f t="shared" si="12"/>
        <v>32.760534669223183</v>
      </c>
      <c r="Z66" s="13">
        <f t="shared" si="13"/>
        <v>14.326975590181144</v>
      </c>
      <c r="AA66" s="2">
        <f t="shared" si="14"/>
        <v>6.979840188220468E-2</v>
      </c>
      <c r="AB66" s="3">
        <f t="shared" si="15"/>
        <v>6.9685383716258237E-2</v>
      </c>
      <c r="AC66">
        <f t="shared" si="16"/>
        <v>8.1945853659760974E-3</v>
      </c>
      <c r="AD66" s="2">
        <f t="shared" si="17"/>
        <v>12420148.324170215</v>
      </c>
      <c r="AE66">
        <f t="shared" si="18"/>
        <v>23707596.254366502</v>
      </c>
      <c r="AF66" s="3">
        <f t="shared" si="19"/>
        <v>40332104.179489829</v>
      </c>
      <c r="AG66">
        <f t="shared" si="20"/>
        <v>11287447.930196285</v>
      </c>
      <c r="AI66" s="2">
        <f t="shared" si="21"/>
        <v>513.1759845623352</v>
      </c>
      <c r="AJ66" s="2">
        <f t="shared" si="22"/>
        <v>1268.997696883727</v>
      </c>
      <c r="AK66">
        <f t="shared" si="23"/>
        <v>27911955.855319612</v>
      </c>
      <c r="AL66" s="18">
        <v>1.6689999999999999E-4</v>
      </c>
      <c r="AM66" s="18">
        <f t="shared" si="24"/>
        <v>6220.9972535691086</v>
      </c>
      <c r="AO66" s="2">
        <f t="shared" si="25"/>
        <v>85.914694880546392</v>
      </c>
      <c r="AP66" s="3">
        <f t="shared" si="26"/>
        <v>85.72155593118444</v>
      </c>
      <c r="AR66">
        <v>0.12929292929292899</v>
      </c>
      <c r="AS66">
        <v>1074.2819477468422</v>
      </c>
      <c r="AT66">
        <v>11.277662612437986</v>
      </c>
      <c r="AU66">
        <v>11.20051001655534</v>
      </c>
      <c r="AV66">
        <v>1127.9960451341844</v>
      </c>
      <c r="AW66">
        <v>9.5155278292445509</v>
      </c>
      <c r="AX66">
        <v>10.073746073173613</v>
      </c>
      <c r="BG66">
        <v>0.1</v>
      </c>
      <c r="BH66">
        <v>1173.4608467853766</v>
      </c>
      <c r="BI66">
        <v>17.515979987913976</v>
      </c>
      <c r="BJ66">
        <v>1.1000000000000001</v>
      </c>
      <c r="BK66">
        <v>0</v>
      </c>
    </row>
    <row r="67" spans="1:69" ht="14.65" thickBot="1" x14ac:dyDescent="0.5">
      <c r="A67" s="2">
        <v>0.70099999999999996</v>
      </c>
      <c r="B67">
        <v>56000</v>
      </c>
      <c r="C67">
        <v>1.3010101010101001</v>
      </c>
      <c r="D67" s="5">
        <f t="shared" si="1"/>
        <v>1</v>
      </c>
      <c r="F67" s="2">
        <v>389.97</v>
      </c>
      <c r="G67" s="3">
        <v>2.8454000000000001E-4</v>
      </c>
      <c r="H67">
        <v>1.2591192124956E-2</v>
      </c>
      <c r="I67">
        <v>7.8561351861416995E-2</v>
      </c>
      <c r="J67">
        <v>0</v>
      </c>
      <c r="K67" s="13">
        <v>968.07579999999996</v>
      </c>
      <c r="L67">
        <f t="shared" si="2"/>
        <v>1259.4763943434334</v>
      </c>
      <c r="M67">
        <f t="shared" si="3"/>
        <v>225.68016769571892</v>
      </c>
      <c r="N67" s="2">
        <f t="shared" si="4"/>
        <v>0.75183635697622853</v>
      </c>
      <c r="O67">
        <f t="shared" si="5"/>
        <v>1.0063521029996079</v>
      </c>
      <c r="P67" s="4">
        <f t="shared" si="6"/>
        <v>8.9977743824213224E-2</v>
      </c>
      <c r="Q67">
        <f t="shared" si="0"/>
        <v>0.24964813283664355</v>
      </c>
      <c r="R67">
        <f t="shared" si="30"/>
        <v>0.1495308821610293</v>
      </c>
      <c r="S67" s="3">
        <f t="shared" si="28"/>
        <v>0.21770609152236861</v>
      </c>
      <c r="T67" s="2">
        <f t="shared" si="9"/>
        <v>0.23606859452458046</v>
      </c>
      <c r="U67" s="3">
        <f t="shared" si="10"/>
        <v>1.6969289098567434E-2</v>
      </c>
      <c r="V67">
        <v>1.3010101010101001</v>
      </c>
      <c r="W67" s="13">
        <f t="shared" si="27"/>
        <v>10.389791641615695</v>
      </c>
      <c r="X67" s="2">
        <f t="shared" si="11"/>
        <v>19.139952916611751</v>
      </c>
      <c r="Y67" s="3">
        <f t="shared" si="12"/>
        <v>33.091325911400034</v>
      </c>
      <c r="Z67" s="13">
        <f t="shared" si="13"/>
        <v>13.911519401511619</v>
      </c>
      <c r="AA67" s="2">
        <f t="shared" si="14"/>
        <v>7.1882874266871274E-2</v>
      </c>
      <c r="AB67" s="3">
        <f t="shared" si="15"/>
        <v>7.1759446894573101E-2</v>
      </c>
      <c r="AC67">
        <f t="shared" si="16"/>
        <v>8.2492944594105763E-3</v>
      </c>
      <c r="AD67" s="2">
        <f t="shared" si="17"/>
        <v>13085697.314761678</v>
      </c>
      <c r="AE67">
        <f t="shared" si="18"/>
        <v>24106318.887317251</v>
      </c>
      <c r="AF67" s="3">
        <f t="shared" si="19"/>
        <v>41677743.842933543</v>
      </c>
      <c r="AG67">
        <f t="shared" si="20"/>
        <v>11020621.572555572</v>
      </c>
      <c r="AI67" s="2">
        <f t="shared" si="21"/>
        <v>501.04490943922065</v>
      </c>
      <c r="AJ67" s="2">
        <f t="shared" si="22"/>
        <v>1299.9175472157895</v>
      </c>
      <c r="AK67">
        <f t="shared" si="23"/>
        <v>28592046.528171867</v>
      </c>
      <c r="AL67" s="18">
        <v>1.6689999999999999E-4</v>
      </c>
      <c r="AM67" s="18">
        <f t="shared" si="24"/>
        <v>6179.7397712867432</v>
      </c>
      <c r="AO67" s="2">
        <f t="shared" si="25"/>
        <v>90.518539936361492</v>
      </c>
      <c r="AP67" s="3">
        <f t="shared" si="26"/>
        <v>90.301782576013039</v>
      </c>
      <c r="AR67">
        <v>0.158585858585859</v>
      </c>
      <c r="AS67">
        <v>713.63858661666825</v>
      </c>
      <c r="AT67">
        <v>11.240438132678289</v>
      </c>
      <c r="AU67">
        <v>11.163540196412846</v>
      </c>
      <c r="AV67">
        <v>749.32051594750169</v>
      </c>
      <c r="AW67">
        <v>9.4841196744473049</v>
      </c>
      <c r="AX67">
        <v>10.092506812304507</v>
      </c>
      <c r="BG67">
        <v>0.12929292929292899</v>
      </c>
      <c r="BH67">
        <v>701.45503815548591</v>
      </c>
      <c r="BI67">
        <v>17.260925150275941</v>
      </c>
      <c r="BJ67">
        <v>1.1000000000000001</v>
      </c>
      <c r="BK67">
        <v>70</v>
      </c>
      <c r="BN67">
        <v>0.1</v>
      </c>
      <c r="BO67">
        <v>1886.6021699997048</v>
      </c>
      <c r="BP67">
        <v>9.6561333520886947</v>
      </c>
      <c r="BQ67">
        <v>10.071701387807879</v>
      </c>
    </row>
    <row r="68" spans="1:69" ht="14.65" thickBot="1" x14ac:dyDescent="0.5">
      <c r="A68" s="2">
        <v>0.70099999999999996</v>
      </c>
      <c r="B68">
        <v>56000</v>
      </c>
      <c r="C68">
        <v>1.3303030303030301</v>
      </c>
      <c r="D68" s="5">
        <f t="shared" si="1"/>
        <v>1</v>
      </c>
      <c r="F68" s="2">
        <v>389.97</v>
      </c>
      <c r="G68" s="3">
        <v>2.8454000000000001E-4</v>
      </c>
      <c r="H68">
        <v>1.3580459318168E-2</v>
      </c>
      <c r="I68">
        <v>8.0909338368420999E-2</v>
      </c>
      <c r="J68">
        <v>0</v>
      </c>
      <c r="K68" s="13">
        <v>968.07579999999996</v>
      </c>
      <c r="L68">
        <f t="shared" si="2"/>
        <v>1287.8341703030301</v>
      </c>
      <c r="M68">
        <f t="shared" si="3"/>
        <v>235.95719227796735</v>
      </c>
      <c r="N68" s="2">
        <f t="shared" si="4"/>
        <v>0.75183635697622853</v>
      </c>
      <c r="O68">
        <f t="shared" si="5"/>
        <v>1.0179422422890214</v>
      </c>
      <c r="P68" s="4">
        <f t="shared" si="6"/>
        <v>8.9977743824213224E-2</v>
      </c>
      <c r="Q68">
        <f t="shared" si="0"/>
        <v>0.25985701593689964</v>
      </c>
      <c r="R68">
        <f t="shared" si="30"/>
        <v>0.14836403894615607</v>
      </c>
      <c r="S68" s="3">
        <f t="shared" si="28"/>
        <v>0.21980890593369903</v>
      </c>
      <c r="T68" s="2">
        <f t="shared" si="9"/>
        <v>0.22578671786041027</v>
      </c>
      <c r="U68" s="3">
        <f t="shared" si="10"/>
        <v>1.7705188419586695E-2</v>
      </c>
      <c r="V68">
        <v>1.3303030303030301</v>
      </c>
      <c r="W68" s="13">
        <f t="shared" si="27"/>
        <v>11.334009345369854</v>
      </c>
      <c r="X68" s="2">
        <f t="shared" si="11"/>
        <v>18.990596985107977</v>
      </c>
      <c r="Y68" s="3">
        <f t="shared" si="12"/>
        <v>33.410953701922253</v>
      </c>
      <c r="Z68" s="13">
        <f t="shared" si="13"/>
        <v>12.75257356824452</v>
      </c>
      <c r="AA68" s="2">
        <f t="shared" si="14"/>
        <v>7.8415544489790143E-2</v>
      </c>
      <c r="AB68" s="3">
        <f t="shared" si="15"/>
        <v>7.8255409213349933E-2</v>
      </c>
      <c r="AC68">
        <f t="shared" si="16"/>
        <v>8.8008298014820782E-3</v>
      </c>
      <c r="AD68" s="2">
        <f t="shared" si="17"/>
        <v>14596324.521501174</v>
      </c>
      <c r="AE68">
        <f t="shared" si="18"/>
        <v>24456739.711875759</v>
      </c>
      <c r="AF68" s="3">
        <f t="shared" si="19"/>
        <v>43027767.839747995</v>
      </c>
      <c r="AG68">
        <f t="shared" si="20"/>
        <v>9860415.1903745849</v>
      </c>
      <c r="AI68" s="2">
        <f t="shared" si="21"/>
        <v>448.29693167194876</v>
      </c>
      <c r="AJ68" s="2">
        <f t="shared" si="22"/>
        <v>1292.6158337649863</v>
      </c>
      <c r="AK68">
        <f t="shared" si="23"/>
        <v>28431443.318246823</v>
      </c>
      <c r="AL68" s="18">
        <v>1.6689999999999999E-4</v>
      </c>
      <c r="AM68" s="18">
        <f t="shared" si="24"/>
        <v>5792.4643704949285</v>
      </c>
      <c r="AO68" s="2">
        <f t="shared" si="25"/>
        <v>100.96809916527245</v>
      </c>
      <c r="AP68" s="3">
        <f t="shared" si="26"/>
        <v>100.67716023789907</v>
      </c>
      <c r="AR68">
        <v>0.18787878787878801</v>
      </c>
      <c r="AS68">
        <v>508.12103186792609</v>
      </c>
      <c r="AT68">
        <v>11.21564558472771</v>
      </c>
      <c r="AU68">
        <v>11.138917258912469</v>
      </c>
      <c r="AV68">
        <v>533.52708346132238</v>
      </c>
      <c r="AW68">
        <v>9.4632009621140067</v>
      </c>
      <c r="AX68">
        <v>10.126744252196854</v>
      </c>
      <c r="BG68">
        <v>0.158585858585859</v>
      </c>
      <c r="BH68">
        <v>465.87113635639145</v>
      </c>
      <c r="BI68">
        <v>17.203951557345302</v>
      </c>
      <c r="BN68">
        <v>0.12929292929292899</v>
      </c>
      <c r="BO68">
        <v>1127.9960451341844</v>
      </c>
      <c r="BP68">
        <v>9.5155278292445509</v>
      </c>
      <c r="BQ68">
        <v>10.073746073173613</v>
      </c>
    </row>
    <row r="69" spans="1:69" ht="14.65" thickBot="1" x14ac:dyDescent="0.5">
      <c r="A69" s="2">
        <v>0.70099999999999996</v>
      </c>
      <c r="B69">
        <v>56000</v>
      </c>
      <c r="C69">
        <v>1.3595959595959599</v>
      </c>
      <c r="D69" s="5">
        <f t="shared" si="1"/>
        <v>1</v>
      </c>
      <c r="F69" s="2">
        <v>389.97</v>
      </c>
      <c r="G69" s="3">
        <v>2.8454000000000001E-4</v>
      </c>
      <c r="H69">
        <v>1.3555446932406999E-2</v>
      </c>
      <c r="I69">
        <v>8.3265548131475006E-2</v>
      </c>
      <c r="J69">
        <v>0</v>
      </c>
      <c r="K69" s="13">
        <v>968.07579999999996</v>
      </c>
      <c r="L69">
        <f t="shared" si="2"/>
        <v>1316.1919462626265</v>
      </c>
      <c r="M69">
        <f t="shared" si="3"/>
        <v>246.46303353037712</v>
      </c>
      <c r="N69" s="2">
        <f t="shared" si="4"/>
        <v>0.75183635697622853</v>
      </c>
      <c r="O69">
        <f t="shared" si="5"/>
        <v>1.0297904345837268</v>
      </c>
      <c r="P69" s="4">
        <f t="shared" si="6"/>
        <v>8.9977743824213224E-2</v>
      </c>
      <c r="Q69">
        <f t="shared" si="0"/>
        <v>0.27059792044111808</v>
      </c>
      <c r="R69">
        <f t="shared" si="30"/>
        <v>0.14691911891730247</v>
      </c>
      <c r="S69" s="3">
        <f t="shared" si="28"/>
        <v>0.22182407488378672</v>
      </c>
      <c r="T69" s="2">
        <f t="shared" si="9"/>
        <v>0.21616223429885528</v>
      </c>
      <c r="U69" s="3">
        <f t="shared" si="10"/>
        <v>1.7446122221593838E-2</v>
      </c>
      <c r="V69">
        <v>1.3595959595959599</v>
      </c>
      <c r="W69" s="13">
        <f t="shared" si="27"/>
        <v>11.665423071083481</v>
      </c>
      <c r="X69" s="2">
        <f t="shared" si="11"/>
        <v>18.805647221414716</v>
      </c>
      <c r="Y69" s="3">
        <f t="shared" si="12"/>
        <v>33.717259382335577</v>
      </c>
      <c r="Z69" s="13">
        <f t="shared" si="13"/>
        <v>12.390273984857318</v>
      </c>
      <c r="AA69" s="2">
        <f t="shared" si="14"/>
        <v>8.0708465464294221E-2</v>
      </c>
      <c r="AB69" s="3">
        <f t="shared" si="15"/>
        <v>8.0533906072945985E-2</v>
      </c>
      <c r="AC69">
        <f t="shared" si="16"/>
        <v>8.8630105238129298E-3</v>
      </c>
      <c r="AD69" s="2">
        <f t="shared" si="17"/>
        <v>15353935.895906312</v>
      </c>
      <c r="AE69">
        <f t="shared" si="18"/>
        <v>24751841.417082191</v>
      </c>
      <c r="AF69" s="3">
        <f t="shared" si="19"/>
        <v>44378385.249078073</v>
      </c>
      <c r="AG69">
        <f t="shared" si="20"/>
        <v>9397905.5211758781</v>
      </c>
      <c r="AI69" s="2">
        <f t="shared" si="21"/>
        <v>427.26925062939097</v>
      </c>
      <c r="AJ69" s="2">
        <f t="shared" si="22"/>
        <v>1319.5764414865862</v>
      </c>
      <c r="AK69">
        <f t="shared" si="23"/>
        <v>29024449.353171755</v>
      </c>
      <c r="AL69" s="18">
        <v>1.6689999999999999E-4</v>
      </c>
      <c r="AM69" s="18">
        <f t="shared" si="24"/>
        <v>5751.8258518262037</v>
      </c>
      <c r="AO69" s="2">
        <f t="shared" si="25"/>
        <v>106.20877329984624</v>
      </c>
      <c r="AP69" s="3">
        <f t="shared" si="26"/>
        <v>105.883536924607</v>
      </c>
      <c r="AR69">
        <v>0.21717171717171699</v>
      </c>
      <c r="AS69">
        <v>380.03514883363323</v>
      </c>
      <c r="AT69">
        <v>11.203104979659704</v>
      </c>
      <c r="AU69">
        <v>11.126462446465524</v>
      </c>
      <c r="AV69">
        <v>399.03690627531489</v>
      </c>
      <c r="AW69">
        <v>9.4526198265878758</v>
      </c>
      <c r="AX69">
        <v>10.175750224994866</v>
      </c>
      <c r="BG69">
        <v>0.18787878787878801</v>
      </c>
      <c r="BH69">
        <v>331.65045657016861</v>
      </c>
      <c r="BI69">
        <v>17.166005545909602</v>
      </c>
      <c r="BN69">
        <v>0.158585858585859</v>
      </c>
      <c r="BO69">
        <v>749.32051594750169</v>
      </c>
      <c r="BP69">
        <v>9.4841196744473049</v>
      </c>
      <c r="BQ69">
        <v>10.092506812304507</v>
      </c>
    </row>
    <row r="70" spans="1:69" ht="14.65" thickBot="1" x14ac:dyDescent="0.5">
      <c r="A70" s="2">
        <v>0.70099999999999996</v>
      </c>
      <c r="B70">
        <v>56000</v>
      </c>
      <c r="C70">
        <v>1.38888888888888</v>
      </c>
      <c r="D70" s="5">
        <f t="shared" si="1"/>
        <v>1</v>
      </c>
      <c r="F70" s="2">
        <v>389.97</v>
      </c>
      <c r="G70" s="3">
        <v>2.8454000000000001E-4</v>
      </c>
      <c r="H70">
        <v>1.3537363495537E-2</v>
      </c>
      <c r="I70">
        <v>8.5620074493185996E-2</v>
      </c>
      <c r="J70">
        <v>0</v>
      </c>
      <c r="K70" s="13">
        <v>968.07579999999996</v>
      </c>
      <c r="L70">
        <f t="shared" si="2"/>
        <v>1344.5497222222136</v>
      </c>
      <c r="M70">
        <f t="shared" si="3"/>
        <v>257.19769145294464</v>
      </c>
      <c r="N70" s="2">
        <f t="shared" si="4"/>
        <v>0.75183635697622853</v>
      </c>
      <c r="O70">
        <f t="shared" si="5"/>
        <v>1.0418966798837201</v>
      </c>
      <c r="P70" s="4">
        <f t="shared" si="6"/>
        <v>8.9977743824213224E-2</v>
      </c>
      <c r="Q70">
        <f t="shared" si="0"/>
        <v>0.28189654748230286</v>
      </c>
      <c r="R70">
        <f t="shared" si="30"/>
        <v>0.14516912387785261</v>
      </c>
      <c r="S70" s="3">
        <f t="shared" si="28"/>
        <v>0.22373638934834528</v>
      </c>
      <c r="T70" s="2">
        <f t="shared" si="9"/>
        <v>0.20714027291239145</v>
      </c>
      <c r="U70" s="3">
        <f t="shared" si="10"/>
        <v>1.7211071965562312E-2</v>
      </c>
      <c r="V70">
        <v>1.38888888888888</v>
      </c>
      <c r="W70" s="13">
        <f t="shared" si="27"/>
        <v>12.009495961528076</v>
      </c>
      <c r="X70" s="2">
        <f t="shared" si="11"/>
        <v>18.581647856365134</v>
      </c>
      <c r="Y70" s="3">
        <f t="shared" si="12"/>
        <v>34.007931180948482</v>
      </c>
      <c r="Z70" s="13">
        <f t="shared" si="13"/>
        <v>12.035291777691656</v>
      </c>
      <c r="AA70" s="2">
        <f t="shared" si="14"/>
        <v>8.3088970211223079E-2</v>
      </c>
      <c r="AB70" s="3">
        <f t="shared" si="15"/>
        <v>8.289854912619514E-2</v>
      </c>
      <c r="AC70">
        <f t="shared" si="16"/>
        <v>8.931983520608892E-3</v>
      </c>
      <c r="AD70" s="2">
        <f t="shared" si="17"/>
        <v>16147364.459101371</v>
      </c>
      <c r="AE70">
        <f t="shared" si="18"/>
        <v>24983949.463706732</v>
      </c>
      <c r="AF70" s="3">
        <f t="shared" si="19"/>
        <v>45725354.422696434</v>
      </c>
      <c r="AG70">
        <f t="shared" si="20"/>
        <v>8836585.0046053585</v>
      </c>
      <c r="AI70" s="2">
        <f t="shared" si="21"/>
        <v>401.74920300414306</v>
      </c>
      <c r="AJ70" s="2">
        <f t="shared" si="22"/>
        <v>1344.7427810795502</v>
      </c>
      <c r="AK70">
        <f t="shared" si="23"/>
        <v>29577989.963595066</v>
      </c>
      <c r="AL70" s="18">
        <v>1.6689999999999999E-4</v>
      </c>
      <c r="AM70" s="18">
        <f t="shared" si="24"/>
        <v>5707.4101108954692</v>
      </c>
      <c r="AO70" s="2">
        <f t="shared" si="25"/>
        <v>111.69720798977319</v>
      </c>
      <c r="AP70" s="3">
        <f t="shared" si="26"/>
        <v>111.3336016594853</v>
      </c>
      <c r="AR70">
        <v>0.246464646464646</v>
      </c>
      <c r="AS70">
        <v>294.87626526532955</v>
      </c>
      <c r="AT70">
        <v>11.202663749230418</v>
      </c>
      <c r="AU70">
        <v>11.126024234575997</v>
      </c>
      <c r="AV70">
        <v>309.62007852859603</v>
      </c>
      <c r="AW70">
        <v>9.4522475384131646</v>
      </c>
      <c r="AX70">
        <v>10.23911786421376</v>
      </c>
      <c r="BG70">
        <v>0.21717171717171699</v>
      </c>
      <c r="BH70">
        <v>248.03046839296226</v>
      </c>
      <c r="BI70">
        <v>17.146811635535013</v>
      </c>
      <c r="BN70">
        <v>0.18787878787878801</v>
      </c>
      <c r="BO70">
        <v>533.52708346132238</v>
      </c>
      <c r="BP70">
        <v>9.4632009621140067</v>
      </c>
      <c r="BQ70">
        <v>10.126744252196854</v>
      </c>
    </row>
    <row r="71" spans="1:69" ht="14.65" thickBot="1" x14ac:dyDescent="0.5">
      <c r="A71" s="2">
        <v>0.70099999999999996</v>
      </c>
      <c r="B71">
        <v>56000</v>
      </c>
      <c r="C71">
        <v>1.41818181818181</v>
      </c>
      <c r="D71" s="5">
        <f t="shared" si="1"/>
        <v>1</v>
      </c>
      <c r="F71" s="2">
        <v>389.97</v>
      </c>
      <c r="G71" s="3">
        <v>2.8454000000000001E-4</v>
      </c>
      <c r="H71">
        <v>1.3522444865174E-2</v>
      </c>
      <c r="I71">
        <v>8.7967071565518001E-2</v>
      </c>
      <c r="J71">
        <v>0</v>
      </c>
      <c r="K71" s="13">
        <v>968.07579999999996</v>
      </c>
      <c r="L71">
        <f t="shared" si="2"/>
        <v>1372.9074981818103</v>
      </c>
      <c r="M71">
        <f t="shared" si="3"/>
        <v>268.16116604567719</v>
      </c>
      <c r="N71" s="2">
        <f t="shared" si="4"/>
        <v>0.75183635697622853</v>
      </c>
      <c r="O71">
        <f t="shared" si="5"/>
        <v>1.05426097818901</v>
      </c>
      <c r="P71" s="4">
        <f t="shared" si="6"/>
        <v>8.9977743824213224E-2</v>
      </c>
      <c r="Q71">
        <f t="shared" si="0"/>
        <v>0.29377979932498816</v>
      </c>
      <c r="R71">
        <f t="shared" si="30"/>
        <v>0.14308527865256024</v>
      </c>
      <c r="S71" s="3">
        <f t="shared" si="28"/>
        <v>0.2255295780846838</v>
      </c>
      <c r="T71" s="2">
        <f t="shared" si="9"/>
        <v>0.19867157047984063</v>
      </c>
      <c r="U71" s="3">
        <f t="shared" si="10"/>
        <v>1.6994539743616369E-2</v>
      </c>
      <c r="V71">
        <v>1.41818181818181</v>
      </c>
      <c r="W71" s="13">
        <f t="shared" si="27"/>
        <v>12.363888686678729</v>
      </c>
      <c r="X71" s="2">
        <f t="shared" si="11"/>
        <v>18.31491566752771</v>
      </c>
      <c r="Y71" s="3">
        <f t="shared" si="12"/>
        <v>34.280495868871931</v>
      </c>
      <c r="Z71" s="13">
        <f t="shared" si="13"/>
        <v>11.690317800719923</v>
      </c>
      <c r="AA71" s="2">
        <f t="shared" si="14"/>
        <v>8.5540873827948213E-2</v>
      </c>
      <c r="AB71" s="3">
        <f t="shared" si="15"/>
        <v>8.5333144007857117E-2</v>
      </c>
      <c r="AC71">
        <f t="shared" si="16"/>
        <v>9.0056239790755471E-3</v>
      </c>
      <c r="AD71" s="2">
        <f t="shared" si="17"/>
        <v>16974475.484626483</v>
      </c>
      <c r="AE71">
        <f t="shared" si="18"/>
        <v>25144685.048516307</v>
      </c>
      <c r="AF71" s="3">
        <f t="shared" si="19"/>
        <v>47063949.819764845</v>
      </c>
      <c r="AG71">
        <f t="shared" si="20"/>
        <v>8170209.5638898294</v>
      </c>
      <c r="AI71" s="2">
        <f t="shared" si="21"/>
        <v>371.45290618025996</v>
      </c>
      <c r="AJ71" s="2">
        <f t="shared" si="22"/>
        <v>1367.9970629666711</v>
      </c>
      <c r="AK71">
        <f t="shared" si="23"/>
        <v>30089474.335138369</v>
      </c>
      <c r="AL71" s="18">
        <v>1.6689999999999999E-4</v>
      </c>
      <c r="AM71" s="18">
        <f t="shared" si="24"/>
        <v>5660.7396860365034</v>
      </c>
      <c r="AO71" s="2">
        <f t="shared" si="25"/>
        <v>117.41863655371695</v>
      </c>
      <c r="AP71" s="3">
        <f t="shared" si="26"/>
        <v>117.01238345171612</v>
      </c>
      <c r="AR71">
        <v>0.27575757575757598</v>
      </c>
      <c r="AS71">
        <v>235.42136759082663</v>
      </c>
      <c r="AT71">
        <v>11.214195676860827</v>
      </c>
      <c r="AU71">
        <v>11.137477270136056</v>
      </c>
      <c r="AV71">
        <v>247.19243597036797</v>
      </c>
      <c r="AW71">
        <v>9.4619776023513218</v>
      </c>
      <c r="AX71">
        <v>10.316632548969723</v>
      </c>
      <c r="BG71">
        <v>0.246464646464646</v>
      </c>
      <c r="BH71">
        <v>192.46707011625722</v>
      </c>
      <c r="BI71">
        <v>17.146136314267146</v>
      </c>
      <c r="BN71">
        <v>0.21717171717171699</v>
      </c>
      <c r="BO71">
        <v>399.03690627531489</v>
      </c>
      <c r="BP71">
        <v>9.4526198265878758</v>
      </c>
      <c r="BQ71">
        <v>10.175750224994866</v>
      </c>
    </row>
    <row r="72" spans="1:69" ht="14.65" thickBot="1" x14ac:dyDescent="0.5">
      <c r="A72" s="2">
        <v>0.70099999999999996</v>
      </c>
      <c r="B72">
        <v>56000</v>
      </c>
      <c r="C72">
        <v>1.44747474747474</v>
      </c>
      <c r="D72" s="5">
        <f t="shared" si="1"/>
        <v>1</v>
      </c>
      <c r="F72" s="2">
        <v>389.97</v>
      </c>
      <c r="G72" s="3">
        <v>2.8454000000000001E-4</v>
      </c>
      <c r="H72">
        <v>1.3509449850715E-2</v>
      </c>
      <c r="I72">
        <v>9.0303129626000997E-2</v>
      </c>
      <c r="J72">
        <v>0</v>
      </c>
      <c r="K72" s="13">
        <v>968.07579999999996</v>
      </c>
      <c r="L72">
        <f>C72*K72</f>
        <v>1401.265274141407</v>
      </c>
      <c r="M72">
        <f t="shared" si="3"/>
        <v>279.35345730857108</v>
      </c>
      <c r="N72" s="2">
        <f t="shared" si="4"/>
        <v>0.75183635697622853</v>
      </c>
      <c r="O72">
        <f t="shared" si="5"/>
        <v>1.0668833294995919</v>
      </c>
      <c r="P72" s="4">
        <f t="shared" si="6"/>
        <v>8.9977743824213224E-2</v>
      </c>
      <c r="Q72">
        <f t="shared" si="0"/>
        <v>0.30627582582424184</v>
      </c>
      <c r="R72">
        <f t="shared" si="30"/>
        <v>0.14063693331058724</v>
      </c>
      <c r="S72" s="3">
        <f t="shared" si="28"/>
        <v>0.22718625071091558</v>
      </c>
      <c r="T72" s="2">
        <f t="shared" si="9"/>
        <v>0.1907117975674518</v>
      </c>
      <c r="U72" s="3">
        <f t="shared" si="10"/>
        <v>1.6793864051056352E-2</v>
      </c>
      <c r="V72">
        <v>1.44747474747474</v>
      </c>
      <c r="W72" s="13">
        <f t="shared" si="27"/>
        <v>12.727833269223362</v>
      </c>
      <c r="X72" s="2">
        <f t="shared" si="11"/>
        <v>18.001527463755167</v>
      </c>
      <c r="Y72" s="3">
        <f t="shared" si="12"/>
        <v>34.532310108059164</v>
      </c>
      <c r="Z72" s="13">
        <f t="shared" si="13"/>
        <v>11.356040336378442</v>
      </c>
      <c r="AA72" s="2">
        <f t="shared" si="14"/>
        <v>8.8058862982069178E-2</v>
      </c>
      <c r="AB72" s="3">
        <f t="shared" si="15"/>
        <v>8.7832302676912347E-2</v>
      </c>
      <c r="AC72">
        <f t="shared" si="16"/>
        <v>9.0831004693397895E-3</v>
      </c>
      <c r="AD72" s="2">
        <f t="shared" si="17"/>
        <v>17835070.775224395</v>
      </c>
      <c r="AE72">
        <f t="shared" si="18"/>
        <v>25224915.316462949</v>
      </c>
      <c r="AF72" s="3">
        <f t="shared" si="19"/>
        <v>48388926.990305603</v>
      </c>
      <c r="AG72">
        <f t="shared" si="20"/>
        <v>7389844.5412385557</v>
      </c>
      <c r="AI72" s="2">
        <f t="shared" si="21"/>
        <v>335.97415214359683</v>
      </c>
      <c r="AJ72" s="2">
        <f t="shared" si="22"/>
        <v>1389.1098627710494</v>
      </c>
      <c r="AK72">
        <f t="shared" si="23"/>
        <v>30553856.215081215</v>
      </c>
      <c r="AL72" s="18">
        <v>1.6689999999999999E-4</v>
      </c>
      <c r="AM72" s="18">
        <f t="shared" si="24"/>
        <v>5612.4550452737976</v>
      </c>
      <c r="AO72" s="2">
        <f t="shared" si="25"/>
        <v>123.37168798897785</v>
      </c>
      <c r="AP72" s="3">
        <f t="shared" si="26"/>
        <v>122.91817101818744</v>
      </c>
      <c r="AR72">
        <v>0.30505050505050502</v>
      </c>
      <c r="AS72">
        <v>192.29432058752684</v>
      </c>
      <c r="AT72">
        <v>11.237599881277145</v>
      </c>
      <c r="AU72">
        <v>11.160721362019542</v>
      </c>
      <c r="AV72">
        <v>201.90903661690319</v>
      </c>
      <c r="AW72">
        <v>9.4817248998275918</v>
      </c>
      <c r="AX72">
        <v>10.408214144094837</v>
      </c>
      <c r="BG72">
        <v>0.27575757575757598</v>
      </c>
      <c r="BH72">
        <v>153.70736917806505</v>
      </c>
      <c r="BI72">
        <v>17.163786402455404</v>
      </c>
      <c r="BN72">
        <v>0.246464646464646</v>
      </c>
      <c r="BO72">
        <v>309.62007852859603</v>
      </c>
      <c r="BP72">
        <v>9.4522475384131646</v>
      </c>
      <c r="BQ72">
        <v>10.23911786421376</v>
      </c>
    </row>
    <row r="73" spans="1:69" ht="14.65" thickBot="1" x14ac:dyDescent="0.5">
      <c r="A73" s="2">
        <v>0.70099999999999996</v>
      </c>
      <c r="B73">
        <v>56000</v>
      </c>
      <c r="C73">
        <v>1.4767676767676701</v>
      </c>
      <c r="D73" s="5">
        <f t="shared" si="1"/>
        <v>1</v>
      </c>
      <c r="F73" s="2">
        <v>389.97</v>
      </c>
      <c r="G73" s="3">
        <v>2.8454000000000001E-4</v>
      </c>
      <c r="H73">
        <v>1.3497783787987E-2</v>
      </c>
      <c r="I73">
        <v>9.2626337305261999E-2</v>
      </c>
      <c r="J73">
        <v>0</v>
      </c>
      <c r="K73" s="13">
        <v>968.07579999999996</v>
      </c>
      <c r="L73">
        <f t="shared" si="2"/>
        <v>1429.6230501010036</v>
      </c>
      <c r="M73">
        <f t="shared" si="3"/>
        <v>290.77456524162636</v>
      </c>
      <c r="N73" s="2">
        <f t="shared" si="4"/>
        <v>0.75183635697622853</v>
      </c>
      <c r="O73">
        <f t="shared" si="5"/>
        <v>1.079763733815466</v>
      </c>
      <c r="P73" s="4">
        <f t="shared" si="6"/>
        <v>8.9977743824213224E-2</v>
      </c>
      <c r="Q73">
        <f t="shared" si="0"/>
        <v>0.31941407237048591</v>
      </c>
      <c r="R73">
        <f t="shared" si="30"/>
        <v>0.13779146131446574</v>
      </c>
      <c r="S73" s="3">
        <f t="shared" si="28"/>
        <v>0.22868783871059739</v>
      </c>
      <c r="T73" s="2">
        <f t="shared" si="9"/>
        <v>0.18322097723963229</v>
      </c>
      <c r="U73" s="3">
        <f t="shared" si="10"/>
        <v>1.6607243123348676E-2</v>
      </c>
      <c r="V73">
        <v>1.4767676767676701</v>
      </c>
      <c r="W73" s="13">
        <f t="shared" si="27"/>
        <v>13.10097905813269</v>
      </c>
      <c r="X73" s="2">
        <f t="shared" si="11"/>
        <v>17.637307048251611</v>
      </c>
      <c r="Y73" s="3">
        <f t="shared" si="12"/>
        <v>34.760551484010804</v>
      </c>
      <c r="Z73" s="13">
        <f t="shared" si="13"/>
        <v>11.032594385400177</v>
      </c>
      <c r="AA73" s="2">
        <f t="shared" si="14"/>
        <v>9.0640511657288467E-2</v>
      </c>
      <c r="AB73" s="3">
        <f t="shared" si="15"/>
        <v>9.0393502973716899E-2</v>
      </c>
      <c r="AC73">
        <f t="shared" si="16"/>
        <v>9.1639394434827413E-3</v>
      </c>
      <c r="AD73" s="2">
        <f t="shared" si="17"/>
        <v>18729461.640397031</v>
      </c>
      <c r="AE73">
        <f t="shared" si="18"/>
        <v>25214700.697889395</v>
      </c>
      <c r="AF73" s="3">
        <f t="shared" si="19"/>
        <v>49694485.635764495</v>
      </c>
      <c r="AG73">
        <f t="shared" si="20"/>
        <v>6485239.0574923679</v>
      </c>
      <c r="AI73" s="2">
        <f t="shared" si="21"/>
        <v>294.84689178919496</v>
      </c>
      <c r="AJ73" s="2">
        <f t="shared" si="22"/>
        <v>1407.8033204750029</v>
      </c>
      <c r="AK73">
        <f t="shared" si="23"/>
        <v>30965023.99536746</v>
      </c>
      <c r="AL73" s="18">
        <v>1.6689999999999999E-4</v>
      </c>
      <c r="AM73" s="18">
        <f t="shared" si="24"/>
        <v>5562.945212621421</v>
      </c>
      <c r="AO73" s="2">
        <f t="shared" si="25"/>
        <v>129.55851573689759</v>
      </c>
      <c r="AP73" s="3">
        <f t="shared" si="26"/>
        <v>129.05271976773685</v>
      </c>
      <c r="AR73">
        <v>0.334343434343434</v>
      </c>
      <c r="AS73">
        <v>160.03623328786628</v>
      </c>
      <c r="AT73">
        <v>11.272799847719654</v>
      </c>
      <c r="AU73">
        <v>11.195680518918502</v>
      </c>
      <c r="AV73">
        <v>168.03804495225961</v>
      </c>
      <c r="AW73">
        <v>9.5114248715134586</v>
      </c>
      <c r="AX73">
        <v>10.513883906274744</v>
      </c>
      <c r="BG73">
        <v>0.30505050505050502</v>
      </c>
      <c r="BH73">
        <v>125.62533880238975</v>
      </c>
      <c r="BI73">
        <v>17.199607497172874</v>
      </c>
      <c r="BN73">
        <v>0.27575757575757598</v>
      </c>
      <c r="BO73">
        <v>247.19243597036797</v>
      </c>
      <c r="BP73">
        <v>9.4619776023513218</v>
      </c>
      <c r="BQ73">
        <v>10.316632548969723</v>
      </c>
    </row>
    <row r="74" spans="1:69" ht="14.65" thickBot="1" x14ac:dyDescent="0.5">
      <c r="A74" s="2">
        <v>0.70099999999999996</v>
      </c>
      <c r="B74">
        <v>56000</v>
      </c>
      <c r="C74">
        <v>1.5060606060606001</v>
      </c>
      <c r="D74" s="5">
        <f t="shared" si="1"/>
        <v>1</v>
      </c>
      <c r="F74" s="2">
        <v>389.97</v>
      </c>
      <c r="G74" s="3">
        <v>2.8454000000000001E-4</v>
      </c>
      <c r="H74">
        <v>1.3487106965298999E-2</v>
      </c>
      <c r="I74">
        <v>9.4935721019582003E-2</v>
      </c>
      <c r="J74">
        <v>0</v>
      </c>
      <c r="K74" s="13">
        <v>968.07579999999996</v>
      </c>
      <c r="L74">
        <f t="shared" si="2"/>
        <v>1457.9808260606003</v>
      </c>
      <c r="M74">
        <f t="shared" si="3"/>
        <v>302.42448984484309</v>
      </c>
      <c r="N74" s="2">
        <f t="shared" si="4"/>
        <v>0.75183635697622853</v>
      </c>
      <c r="O74">
        <f t="shared" si="5"/>
        <v>1.0929021911366321</v>
      </c>
      <c r="P74" s="4">
        <f t="shared" si="6"/>
        <v>8.9977743824213224E-2</v>
      </c>
      <c r="Q74">
        <f t="shared" si="0"/>
        <v>0.33322532934668103</v>
      </c>
      <c r="R74">
        <f t="shared" si="30"/>
        <v>0.13451415346995943</v>
      </c>
      <c r="S74" s="3">
        <f t="shared" si="28"/>
        <v>0.23001453431453708</v>
      </c>
      <c r="T74" s="2">
        <f t="shared" si="9"/>
        <v>0.17616298212930079</v>
      </c>
      <c r="U74" s="3">
        <f t="shared" si="10"/>
        <v>1.6433284816133077E-2</v>
      </c>
      <c r="V74">
        <v>1.5060606060606001</v>
      </c>
      <c r="W74" s="13">
        <f t="shared" si="27"/>
        <v>13.483142758984863</v>
      </c>
      <c r="X74" s="2">
        <f t="shared" si="11"/>
        <v>17.217811644154807</v>
      </c>
      <c r="Y74" s="3">
        <f t="shared" si="12"/>
        <v>34.962209215809636</v>
      </c>
      <c r="Z74" s="13">
        <f t="shared" si="13"/>
        <v>10.719888573729094</v>
      </c>
      <c r="AA74" s="2">
        <f t="shared" si="14"/>
        <v>9.3284551711728586E-2</v>
      </c>
      <c r="AB74" s="3">
        <f t="shared" si="15"/>
        <v>9.3015368156944583E-2</v>
      </c>
      <c r="AC74">
        <f t="shared" si="16"/>
        <v>9.2478189822397857E-3</v>
      </c>
      <c r="AD74" s="2">
        <f t="shared" si="17"/>
        <v>19658163.617637753</v>
      </c>
      <c r="AE74">
        <f t="shared" si="18"/>
        <v>25103239.243900646</v>
      </c>
      <c r="AF74" s="3">
        <f t="shared" si="19"/>
        <v>50974230.673369668</v>
      </c>
      <c r="AG74">
        <f t="shared" si="20"/>
        <v>5445075.6262628986</v>
      </c>
      <c r="AI74" s="2">
        <f t="shared" si="21"/>
        <v>247.55658345484346</v>
      </c>
      <c r="AJ74" s="2">
        <f t="shared" si="22"/>
        <v>1423.7632495254284</v>
      </c>
      <c r="AK74">
        <f t="shared" si="23"/>
        <v>31316067.055731915</v>
      </c>
      <c r="AL74" s="18">
        <v>1.6689999999999999E-4</v>
      </c>
      <c r="AM74" s="18">
        <f t="shared" si="24"/>
        <v>5512.4882043839616</v>
      </c>
      <c r="AO74" s="2">
        <f t="shared" si="25"/>
        <v>135.98268595830493</v>
      </c>
      <c r="AP74" s="3">
        <f t="shared" si="26"/>
        <v>135.41915478587643</v>
      </c>
      <c r="AR74">
        <v>0.36363636363636398</v>
      </c>
      <c r="AS74">
        <v>135.29387183665651</v>
      </c>
      <c r="AT74">
        <v>11.319742501663084</v>
      </c>
      <c r="AU74">
        <v>11.242302029400399</v>
      </c>
      <c r="AV74">
        <v>142.05856542848935</v>
      </c>
      <c r="AW74">
        <v>9.5510327357782288</v>
      </c>
      <c r="AX74">
        <v>10.633744401285336</v>
      </c>
      <c r="BG74">
        <v>0.334343434343434</v>
      </c>
      <c r="BH74">
        <v>104.65433757028724</v>
      </c>
      <c r="BI74">
        <v>17.253482489441776</v>
      </c>
      <c r="BN74">
        <v>0.30505050505050502</v>
      </c>
      <c r="BO74">
        <v>201.90903661690319</v>
      </c>
      <c r="BP74">
        <v>9.4817248998275918</v>
      </c>
      <c r="BQ74">
        <v>10.408214144094837</v>
      </c>
    </row>
    <row r="75" spans="1:69" ht="14.65" thickBot="1" x14ac:dyDescent="0.5">
      <c r="A75" s="2">
        <v>0.70099999999999996</v>
      </c>
      <c r="B75">
        <v>56000</v>
      </c>
      <c r="C75">
        <v>1.5353535353535299</v>
      </c>
      <c r="D75" s="5">
        <f t="shared" si="1"/>
        <v>1</v>
      </c>
      <c r="F75" s="2">
        <v>389.97</v>
      </c>
      <c r="G75" s="3">
        <v>2.8454000000000001E-4</v>
      </c>
      <c r="H75">
        <v>1.3477203654058001E-2</v>
      </c>
      <c r="I75">
        <v>9.7230900232907994E-2</v>
      </c>
      <c r="J75">
        <v>0</v>
      </c>
      <c r="K75" s="13">
        <v>968.07579999999996</v>
      </c>
      <c r="L75">
        <f t="shared" si="2"/>
        <v>1486.3386020201967</v>
      </c>
      <c r="M75">
        <f t="shared" si="3"/>
        <v>314.30323111822111</v>
      </c>
      <c r="N75" s="2">
        <f t="shared" si="4"/>
        <v>0.75183635697622853</v>
      </c>
      <c r="O75">
        <f t="shared" si="5"/>
        <v>1.1062987014630903</v>
      </c>
      <c r="P75" s="4">
        <f t="shared" si="6"/>
        <v>8.9977743824213224E-2</v>
      </c>
      <c r="Q75">
        <f t="shared" si="0"/>
        <v>0.34774178312469706</v>
      </c>
      <c r="R75">
        <f t="shared" si="30"/>
        <v>0.13076810754979473</v>
      </c>
      <c r="S75" s="3">
        <f t="shared" si="28"/>
        <v>0.23114522721152075</v>
      </c>
      <c r="T75" s="2">
        <f t="shared" si="9"/>
        <v>0.16950509802414634</v>
      </c>
      <c r="U75" s="3">
        <f t="shared" si="10"/>
        <v>1.6270839765378277E-2</v>
      </c>
      <c r="V75">
        <v>1.5353535353535299</v>
      </c>
      <c r="W75" s="13">
        <f t="shared" si="27"/>
        <v>13.874220988062572</v>
      </c>
      <c r="X75" s="2">
        <f t="shared" si="11"/>
        <v>16.738317766373726</v>
      </c>
      <c r="Y75" s="3">
        <f t="shared" si="12"/>
        <v>35.134074536151161</v>
      </c>
      <c r="Z75" s="13">
        <f t="shared" si="13"/>
        <v>10.417722776966057</v>
      </c>
      <c r="AA75" s="2">
        <f t="shared" si="14"/>
        <v>9.5990267874187851E-2</v>
      </c>
      <c r="AB75" s="3">
        <f t="shared" si="15"/>
        <v>9.5697064824289663E-2</v>
      </c>
      <c r="AC75">
        <f t="shared" si="16"/>
        <v>9.3344954973281682E-3</v>
      </c>
      <c r="AD75" s="2">
        <f t="shared" si="17"/>
        <v>20621790.227516193</v>
      </c>
      <c r="AE75">
        <f t="shared" si="18"/>
        <v>24878807.829041746</v>
      </c>
      <c r="AF75" s="3">
        <f t="shared" si="19"/>
        <v>52221131.229336306</v>
      </c>
      <c r="AG75">
        <f t="shared" si="20"/>
        <v>4257017.6015255498</v>
      </c>
      <c r="AI75" s="2">
        <f t="shared" si="21"/>
        <v>193.54235009295633</v>
      </c>
      <c r="AJ75" s="2">
        <f t="shared" si="22"/>
        <v>1436.6421028396283</v>
      </c>
      <c r="AK75">
        <f t="shared" si="23"/>
        <v>31599341.001820106</v>
      </c>
      <c r="AL75" s="18">
        <v>1.6689999999999999E-4</v>
      </c>
      <c r="AM75" s="18">
        <f t="shared" si="24"/>
        <v>5461.3013708632225</v>
      </c>
      <c r="AO75" s="2">
        <f t="shared" si="25"/>
        <v>142.64844259869616</v>
      </c>
      <c r="AP75" s="3">
        <f t="shared" si="26"/>
        <v>142.02123966897759</v>
      </c>
      <c r="AR75">
        <v>0.39292929292929302</v>
      </c>
      <c r="AS75">
        <v>115.91518261996333</v>
      </c>
      <c r="AT75">
        <v>11.378397320014651</v>
      </c>
      <c r="AU75">
        <v>11.300555579186629</v>
      </c>
      <c r="AV75">
        <v>121.71094175096151</v>
      </c>
      <c r="AW75">
        <v>9.6005227387623613</v>
      </c>
      <c r="AX75">
        <v>10.76796679953191</v>
      </c>
      <c r="BG75">
        <v>0.36363636363636398</v>
      </c>
      <c r="BH75">
        <v>88.603484068960327</v>
      </c>
      <c r="BI75">
        <v>17.325330146524479</v>
      </c>
      <c r="BN75">
        <v>0.334343434343434</v>
      </c>
      <c r="BO75">
        <v>168.03804495225961</v>
      </c>
      <c r="BP75">
        <v>9.5114248715134586</v>
      </c>
      <c r="BQ75">
        <v>10.513883906274744</v>
      </c>
    </row>
    <row r="76" spans="1:69" ht="14.65" thickBot="1" x14ac:dyDescent="0.5">
      <c r="A76" s="2">
        <v>0.70099999999999996</v>
      </c>
      <c r="B76">
        <v>56000</v>
      </c>
      <c r="C76">
        <v>1.56464646464646</v>
      </c>
      <c r="D76" s="5">
        <f t="shared" si="1"/>
        <v>1</v>
      </c>
      <c r="F76" s="2">
        <v>389.97</v>
      </c>
      <c r="G76" s="3">
        <v>2.8454000000000001E-4</v>
      </c>
      <c r="H76">
        <v>1.3467926718973001E-2</v>
      </c>
      <c r="I76">
        <v>9.9511870492462004E-2</v>
      </c>
      <c r="J76">
        <v>0</v>
      </c>
      <c r="K76" s="13">
        <v>968.07579999999996</v>
      </c>
      <c r="L76">
        <f t="shared" si="2"/>
        <v>1514.6963779797934</v>
      </c>
      <c r="M76">
        <f t="shared" si="3"/>
        <v>326.41078906176057</v>
      </c>
      <c r="N76" s="2">
        <f t="shared" si="4"/>
        <v>0.75183635697622853</v>
      </c>
      <c r="O76">
        <f t="shared" si="5"/>
        <v>1.1199532647948407</v>
      </c>
      <c r="P76" s="4">
        <f t="shared" si="6"/>
        <v>8.9977743824213224E-2</v>
      </c>
      <c r="Q76">
        <f t="shared" si="0"/>
        <v>0.36299706862783959</v>
      </c>
      <c r="R76">
        <f t="shared" si="30"/>
        <v>0.12651411346223959</v>
      </c>
      <c r="S76" s="3">
        <f t="shared" si="28"/>
        <v>0.23205743903968407</v>
      </c>
      <c r="T76" s="2">
        <f t="shared" si="9"/>
        <v>0.1632176441015851</v>
      </c>
      <c r="U76" s="3">
        <f t="shared" si="10"/>
        <v>1.6118922883818561E-2</v>
      </c>
      <c r="V76">
        <v>1.56464646464646</v>
      </c>
      <c r="W76" s="13">
        <f t="shared" si="27"/>
        <v>14.274151985184119</v>
      </c>
      <c r="X76" s="2">
        <f t="shared" si="11"/>
        <v>16.193806523166668</v>
      </c>
      <c r="Y76" s="3">
        <f t="shared" si="12"/>
        <v>35.272730734031974</v>
      </c>
      <c r="Z76" s="13">
        <f t="shared" si="13"/>
        <v>10.125840620866533</v>
      </c>
      <c r="AA76" s="2">
        <f t="shared" si="14"/>
        <v>9.8757232850305673E-2</v>
      </c>
      <c r="AB76" s="3">
        <f t="shared" si="15"/>
        <v>9.8438039165495567E-2</v>
      </c>
      <c r="AC76">
        <f t="shared" si="16"/>
        <v>9.4237711218548518E-3</v>
      </c>
      <c r="AD76" s="2">
        <f t="shared" si="17"/>
        <v>21621006.310691465</v>
      </c>
      <c r="AE76">
        <f t="shared" si="18"/>
        <v>24528700.086346105</v>
      </c>
      <c r="AF76" s="3">
        <f t="shared" si="19"/>
        <v>53427477.484294772</v>
      </c>
      <c r="AG76">
        <f t="shared" si="20"/>
        <v>2907693.775654641</v>
      </c>
      <c r="AI76" s="2">
        <f t="shared" si="21"/>
        <v>132.196279030932</v>
      </c>
      <c r="AJ76" s="2">
        <f t="shared" si="22"/>
        <v>1446.0591323129649</v>
      </c>
      <c r="AK76">
        <f t="shared" si="23"/>
        <v>31806471.173603311</v>
      </c>
      <c r="AL76" s="18">
        <v>1.6689999999999999E-4</v>
      </c>
      <c r="AM76" s="18">
        <f t="shared" si="24"/>
        <v>5409.5640053958541</v>
      </c>
      <c r="AO76" s="2">
        <f t="shared" si="25"/>
        <v>149.56038460333994</v>
      </c>
      <c r="AP76" s="3">
        <f t="shared" si="26"/>
        <v>148.86305429837924</v>
      </c>
      <c r="AR76">
        <v>0.422222222222222</v>
      </c>
      <c r="AS76">
        <v>100.46764857284572</v>
      </c>
      <c r="AT76">
        <v>11.44875547476998</v>
      </c>
      <c r="AU76">
        <v>11.370432400666843</v>
      </c>
      <c r="AV76">
        <v>105.49103100148801</v>
      </c>
      <c r="AW76">
        <v>9.6598874318371717</v>
      </c>
      <c r="AX76">
        <v>10.916782609451069</v>
      </c>
      <c r="BG76">
        <v>0.39292929292929302</v>
      </c>
      <c r="BH76">
        <v>76.066704500479418</v>
      </c>
      <c r="BI76">
        <v>17.415103751575653</v>
      </c>
      <c r="BN76">
        <v>0.36363636363636398</v>
      </c>
      <c r="BO76">
        <v>142.05856542848935</v>
      </c>
      <c r="BP76">
        <v>9.5510327357782288</v>
      </c>
      <c r="BQ76">
        <v>10.633744401285336</v>
      </c>
    </row>
    <row r="77" spans="1:69" ht="14.65" thickBot="1" x14ac:dyDescent="0.5">
      <c r="A77" s="2">
        <v>0.70099999999999996</v>
      </c>
      <c r="B77">
        <v>56000</v>
      </c>
      <c r="C77">
        <v>1.59393939393939</v>
      </c>
      <c r="D77" s="5">
        <f t="shared" si="1"/>
        <v>1</v>
      </c>
      <c r="F77" s="2">
        <v>389.97</v>
      </c>
      <c r="G77" s="3">
        <v>2.8454000000000001E-4</v>
      </c>
      <c r="H77">
        <v>1.3459170486668001E-2</v>
      </c>
      <c r="I77">
        <v>0.101778864326256</v>
      </c>
      <c r="J77">
        <v>0</v>
      </c>
      <c r="K77" s="13">
        <v>968.07579999999996</v>
      </c>
      <c r="L77">
        <f t="shared" si="2"/>
        <v>1543.0541539393901</v>
      </c>
      <c r="M77">
        <f t="shared" si="3"/>
        <v>338.74716367546137</v>
      </c>
      <c r="N77" s="2">
        <f t="shared" si="4"/>
        <v>0.75183635697622853</v>
      </c>
      <c r="O77">
        <f t="shared" si="5"/>
        <v>1.1338658811318831</v>
      </c>
      <c r="P77" s="4">
        <f t="shared" si="6"/>
        <v>8.9977743824213224E-2</v>
      </c>
      <c r="Q77">
        <f t="shared" si="0"/>
        <v>0.37902632348667431</v>
      </c>
      <c r="R77">
        <f t="shared" si="30"/>
        <v>0.12171053383350601</v>
      </c>
      <c r="S77" s="3">
        <f t="shared" si="28"/>
        <v>0.2327272556102134</v>
      </c>
      <c r="T77" s="2">
        <f t="shared" si="9"/>
        <v>0.15727364156188586</v>
      </c>
      <c r="U77" s="3">
        <f t="shared" si="10"/>
        <v>1.5976670525821138E-2</v>
      </c>
      <c r="V77">
        <v>1.59393939393939</v>
      </c>
      <c r="W77" s="13">
        <f t="shared" si="27"/>
        <v>14.682896602850773</v>
      </c>
      <c r="X77" s="2">
        <f t="shared" si="11"/>
        <v>15.578948330688769</v>
      </c>
      <c r="Y77" s="3">
        <f t="shared" si="12"/>
        <v>35.374542852752434</v>
      </c>
      <c r="Z77" s="13">
        <f t="shared" si="13"/>
        <v>9.8439559924393336</v>
      </c>
      <c r="AA77" s="2">
        <f t="shared" si="14"/>
        <v>0.10158517579396451</v>
      </c>
      <c r="AB77" s="3">
        <f t="shared" si="15"/>
        <v>0.10123788589880689</v>
      </c>
      <c r="AC77">
        <f t="shared" si="16"/>
        <v>9.515477188772407E-3</v>
      </c>
      <c r="AD77" s="2">
        <f t="shared" si="17"/>
        <v>22656504.594891444</v>
      </c>
      <c r="AE77">
        <f t="shared" si="18"/>
        <v>24039160.935676429</v>
      </c>
      <c r="AF77" s="3">
        <f t="shared" si="19"/>
        <v>54584835.292646602</v>
      </c>
      <c r="AG77">
        <f t="shared" si="20"/>
        <v>1382656.340784987</v>
      </c>
      <c r="AI77" s="2">
        <f t="shared" si="21"/>
        <v>62.861510713640342</v>
      </c>
      <c r="AJ77" s="2">
        <f t="shared" si="22"/>
        <v>1451.5993909853996</v>
      </c>
      <c r="AK77">
        <f t="shared" si="23"/>
        <v>31928330.697755165</v>
      </c>
      <c r="AL77" s="18">
        <v>1.6689999999999999E-4</v>
      </c>
      <c r="AM77" s="18">
        <f t="shared" si="24"/>
        <v>5357.4289596349345</v>
      </c>
      <c r="AO77" s="2">
        <f t="shared" si="25"/>
        <v>156.72330382252841</v>
      </c>
      <c r="AP77" s="3">
        <f t="shared" si="26"/>
        <v>155.94883205414169</v>
      </c>
      <c r="AR77">
        <v>0.45151515151515198</v>
      </c>
      <c r="AS77">
        <v>87.967779192964755</v>
      </c>
      <c r="AT77">
        <v>11.530829004111023</v>
      </c>
      <c r="AU77">
        <v>11.451944449667542</v>
      </c>
      <c r="AV77">
        <v>92.366168152613</v>
      </c>
      <c r="AW77">
        <v>9.7291369722186758</v>
      </c>
      <c r="AX77">
        <v>11.080478215896287</v>
      </c>
      <c r="BG77">
        <v>0.422222222222222</v>
      </c>
      <c r="BH77">
        <v>66.108044157648166</v>
      </c>
      <c r="BI77">
        <v>17.522789792972553</v>
      </c>
      <c r="BN77">
        <v>0.39292929292929302</v>
      </c>
      <c r="BO77">
        <v>121.71094175096151</v>
      </c>
      <c r="BP77">
        <v>9.6005227387623613</v>
      </c>
      <c r="BQ77">
        <v>10.76796679953191</v>
      </c>
    </row>
    <row r="78" spans="1:69" ht="14.65" thickBot="1" x14ac:dyDescent="0.5">
      <c r="A78" s="2">
        <v>0.70099999999999996</v>
      </c>
      <c r="B78">
        <v>56000</v>
      </c>
      <c r="C78">
        <v>1.62323232323232</v>
      </c>
      <c r="D78" s="5">
        <f t="shared" si="1"/>
        <v>1</v>
      </c>
      <c r="F78" s="2">
        <v>389.97</v>
      </c>
      <c r="G78" s="3">
        <v>2.8454000000000001E-4</v>
      </c>
      <c r="H78">
        <v>1.3450856026727E-2</v>
      </c>
      <c r="I78">
        <v>0.104032260767163</v>
      </c>
      <c r="J78">
        <v>0</v>
      </c>
      <c r="K78" s="13">
        <v>968.07579999999996</v>
      </c>
      <c r="L78">
        <f t="shared" si="2"/>
        <v>1571.4119298989867</v>
      </c>
      <c r="M78">
        <f t="shared" si="3"/>
        <v>351.31235495932361</v>
      </c>
      <c r="N78" s="2">
        <f t="shared" si="4"/>
        <v>0.75183635697622853</v>
      </c>
      <c r="O78">
        <f t="shared" si="5"/>
        <v>1.1480365504742178</v>
      </c>
      <c r="P78" s="4">
        <f t="shared" si="6"/>
        <v>8.9977743824213224E-2</v>
      </c>
      <c r="Q78">
        <f t="shared" si="0"/>
        <v>0.39586624381545571</v>
      </c>
      <c r="R78">
        <f t="shared" si="30"/>
        <v>0.11631317987094693</v>
      </c>
      <c r="S78" s="3">
        <f t="shared" si="28"/>
        <v>0.23312925681501562</v>
      </c>
      <c r="T78" s="2">
        <f t="shared" si="9"/>
        <v>0.15164852373657201</v>
      </c>
      <c r="U78" s="3">
        <f t="shared" si="10"/>
        <v>1.5843314510607231E-2</v>
      </c>
      <c r="V78">
        <v>1.62323232323232</v>
      </c>
      <c r="W78" s="13">
        <f t="shared" si="27"/>
        <v>15.100428131627229</v>
      </c>
      <c r="X78" s="2">
        <f t="shared" si="11"/>
        <v>14.888087023481207</v>
      </c>
      <c r="Y78" s="3">
        <f t="shared" si="12"/>
        <v>35.435647035882369</v>
      </c>
      <c r="Z78" s="13">
        <f t="shared" si="13"/>
        <v>9.5717675512306499</v>
      </c>
      <c r="AA78" s="2">
        <f t="shared" si="14"/>
        <v>0.10447391191310629</v>
      </c>
      <c r="AB78" s="3">
        <f t="shared" si="15"/>
        <v>0.10409627803282165</v>
      </c>
      <c r="AC78">
        <f t="shared" si="16"/>
        <v>9.6094651213433982E-3</v>
      </c>
      <c r="AD78" s="2">
        <f t="shared" si="17"/>
        <v>23728992.912621297</v>
      </c>
      <c r="AE78">
        <f t="shared" si="18"/>
        <v>23395317.562072664</v>
      </c>
      <c r="AF78" s="3">
        <f t="shared" si="19"/>
        <v>55683998.495875224</v>
      </c>
      <c r="AG78">
        <f t="shared" si="20"/>
        <v>-333675.35054863233</v>
      </c>
      <c r="AI78" s="2">
        <f t="shared" si="21"/>
        <v>-15.170318180063491</v>
      </c>
      <c r="AJ78" s="2">
        <f t="shared" si="22"/>
        <v>1452.8121461372789</v>
      </c>
      <c r="AK78">
        <f t="shared" si="23"/>
        <v>31955005.583253928</v>
      </c>
      <c r="AL78" s="18">
        <v>1.6689999999999999E-4</v>
      </c>
      <c r="AM78" s="18">
        <f t="shared" si="24"/>
        <v>5305.0291990391379</v>
      </c>
      <c r="AO78" s="2">
        <f t="shared" si="25"/>
        <v>164.14209659180614</v>
      </c>
      <c r="AP78" s="3">
        <f t="shared" si="26"/>
        <v>163.28287011287873</v>
      </c>
      <c r="AR78">
        <v>0.48080808080808102</v>
      </c>
      <c r="AS78">
        <v>77.72222110404428</v>
      </c>
      <c r="AT78">
        <v>11.624650005925057</v>
      </c>
      <c r="AU78">
        <v>11.545123604488364</v>
      </c>
      <c r="AV78">
        <v>81.608332159246501</v>
      </c>
      <c r="AW78">
        <v>9.8082984424992663</v>
      </c>
      <c r="AX78">
        <v>11.259391269489758</v>
      </c>
      <c r="BG78">
        <v>0.45151515151515198</v>
      </c>
      <c r="BH78">
        <v>58.084926007581515</v>
      </c>
      <c r="BI78">
        <v>17.648406695646365</v>
      </c>
      <c r="BN78">
        <v>0.422222222222222</v>
      </c>
      <c r="BO78">
        <v>105.49103100148801</v>
      </c>
      <c r="BP78">
        <v>9.6598874318371717</v>
      </c>
      <c r="BQ78">
        <v>10.916782609451069</v>
      </c>
    </row>
    <row r="79" spans="1:69" ht="14.65" thickBot="1" x14ac:dyDescent="0.5">
      <c r="A79" s="2">
        <v>0.70099999999999996</v>
      </c>
      <c r="B79">
        <v>56000</v>
      </c>
      <c r="C79">
        <v>1.6525252525252501</v>
      </c>
      <c r="D79" s="5">
        <f t="shared" si="1"/>
        <v>1</v>
      </c>
      <c r="F79" s="2">
        <v>389.97</v>
      </c>
      <c r="G79" s="3">
        <v>2.8454000000000001E-4</v>
      </c>
      <c r="H79">
        <v>1.3442922538588999E-2</v>
      </c>
      <c r="I79">
        <v>0.106272525886318</v>
      </c>
      <c r="J79">
        <v>0</v>
      </c>
      <c r="K79" s="13">
        <v>968.07579999999996</v>
      </c>
      <c r="L79">
        <f t="shared" si="2"/>
        <v>1599.7697058585834</v>
      </c>
      <c r="M79">
        <f t="shared" si="3"/>
        <v>364.10636291334731</v>
      </c>
      <c r="N79" s="2">
        <f t="shared" si="4"/>
        <v>0.75183635697622853</v>
      </c>
      <c r="O79">
        <f t="shared" si="5"/>
        <v>1.1624652728218445</v>
      </c>
      <c r="P79" s="4">
        <f t="shared" si="6"/>
        <v>8.9977743824213224E-2</v>
      </c>
      <c r="Q79">
        <f t="shared" si="0"/>
        <v>0.41355514163661233</v>
      </c>
      <c r="R79">
        <f t="shared" si="30"/>
        <v>0.11027518237201131</v>
      </c>
      <c r="S79" s="3">
        <f t="shared" si="28"/>
        <v>0.23323644416993661</v>
      </c>
      <c r="T79" s="2">
        <f t="shared" si="9"/>
        <v>0.14631988184364417</v>
      </c>
      <c r="U79" s="3">
        <f t="shared" si="10"/>
        <v>1.5718165012894251E-2</v>
      </c>
      <c r="V79">
        <v>1.6525252525252501</v>
      </c>
      <c r="W79" s="13">
        <f t="shared" si="27"/>
        <v>15.526726605823949</v>
      </c>
      <c r="X79" s="2">
        <f t="shared" si="11"/>
        <v>14.115223343617448</v>
      </c>
      <c r="Y79" s="3">
        <f t="shared" si="12"/>
        <v>35.451939513830368</v>
      </c>
      <c r="Z79" s="13">
        <f t="shared" si="13"/>
        <v>9.3089671551107909</v>
      </c>
      <c r="AA79" s="2">
        <f t="shared" si="14"/>
        <v>0.10742330307299258</v>
      </c>
      <c r="AB79" s="3">
        <f t="shared" si="15"/>
        <v>0.10701292746902664</v>
      </c>
      <c r="AC79">
        <f t="shared" si="16"/>
        <v>9.7056010930591293E-3</v>
      </c>
      <c r="AD79" s="2">
        <f t="shared" si="17"/>
        <v>24839186.855145622</v>
      </c>
      <c r="AE79">
        <f t="shared" si="18"/>
        <v>22581106.696547091</v>
      </c>
      <c r="AF79" s="3">
        <f t="shared" si="19"/>
        <v>56714938.848156698</v>
      </c>
      <c r="AG79">
        <f t="shared" si="20"/>
        <v>-2258080.158598525</v>
      </c>
      <c r="AI79" s="2">
        <f t="shared" si="21"/>
        <v>-102.66204688390718</v>
      </c>
      <c r="AJ79" s="2">
        <f t="shared" si="22"/>
        <v>1449.2089366735904</v>
      </c>
      <c r="AK79">
        <f t="shared" si="23"/>
        <v>31875751.993011076</v>
      </c>
      <c r="AL79" s="18">
        <v>1.6689999999999999E-4</v>
      </c>
      <c r="AM79" s="18">
        <f t="shared" si="24"/>
        <v>5252.4817955202898</v>
      </c>
      <c r="AO79" s="2">
        <f t="shared" si="25"/>
        <v>171.82171291688579</v>
      </c>
      <c r="AP79" s="3">
        <f t="shared" si="26"/>
        <v>170.86947702631474</v>
      </c>
      <c r="AR79">
        <v>0.51010101010101006</v>
      </c>
      <c r="AS79">
        <v>69.230794051369784</v>
      </c>
      <c r="AT79">
        <v>11.730269848709199</v>
      </c>
      <c r="AU79">
        <v>11.65002088220494</v>
      </c>
      <c r="AV79">
        <v>72.692333753938271</v>
      </c>
      <c r="AW79">
        <v>9.8974151848483878</v>
      </c>
      <c r="AX79">
        <v>11.453908345352506</v>
      </c>
      <c r="BG79">
        <v>0.48080808080808102</v>
      </c>
      <c r="BH79">
        <v>51.544338095198192</v>
      </c>
      <c r="BI79">
        <v>17.792003586729976</v>
      </c>
      <c r="BN79">
        <v>0.45151515151515198</v>
      </c>
      <c r="BO79">
        <v>92.366168152613</v>
      </c>
      <c r="BP79">
        <v>9.7291369722186758</v>
      </c>
      <c r="BQ79">
        <v>11.080478215896287</v>
      </c>
    </row>
    <row r="80" spans="1:69" ht="14.65" thickBot="1" x14ac:dyDescent="0.5">
      <c r="A80" s="2">
        <v>0.70099999999999996</v>
      </c>
      <c r="B80">
        <v>56000</v>
      </c>
      <c r="C80">
        <v>1.6818181818181801</v>
      </c>
      <c r="D80" s="5">
        <f t="shared" si="1"/>
        <v>1</v>
      </c>
      <c r="F80" s="2">
        <v>389.97</v>
      </c>
      <c r="G80" s="3">
        <v>2.8454000000000001E-4</v>
      </c>
      <c r="H80">
        <v>1.3435322007379E-2</v>
      </c>
      <c r="I80">
        <v>0.10850017345447099</v>
      </c>
      <c r="J80">
        <v>0</v>
      </c>
      <c r="K80" s="13">
        <v>968.07579999999996</v>
      </c>
      <c r="L80">
        <f t="shared" si="2"/>
        <v>1628.1274818181801</v>
      </c>
      <c r="M80">
        <f t="shared" si="3"/>
        <v>377.12918753753235</v>
      </c>
      <c r="N80" s="2">
        <f t="shared" si="4"/>
        <v>0.75183635697622853</v>
      </c>
      <c r="O80">
        <f t="shared" si="5"/>
        <v>1.1771520481747635</v>
      </c>
      <c r="P80" s="4">
        <f t="shared" si="6"/>
        <v>8.9977743824213224E-2</v>
      </c>
      <c r="Q80">
        <f t="shared" si="0"/>
        <v>0.43213300398088783</v>
      </c>
      <c r="R80">
        <f t="shared" si="30"/>
        <v>0.10354685774190614</v>
      </c>
      <c r="S80" s="3">
        <f t="shared" si="28"/>
        <v>0.23302016594504116</v>
      </c>
      <c r="T80" s="2">
        <f t="shared" si="9"/>
        <v>0.14126724146668682</v>
      </c>
      <c r="U80" s="3">
        <f t="shared" si="10"/>
        <v>1.5600598504920998E-2</v>
      </c>
      <c r="V80">
        <v>1.6818181818181801</v>
      </c>
      <c r="W80" s="13">
        <f t="shared" si="27"/>
        <v>15.961775539512645</v>
      </c>
      <c r="X80" s="2">
        <f t="shared" si="11"/>
        <v>13.253997790963986</v>
      </c>
      <c r="Y80" s="3">
        <f t="shared" si="12"/>
        <v>35.419065223646257</v>
      </c>
      <c r="Z80" s="13">
        <f t="shared" si="13"/>
        <v>9.0552449908973678</v>
      </c>
      <c r="AA80" s="2">
        <f t="shared" si="14"/>
        <v>0.11043323521398185</v>
      </c>
      <c r="AB80" s="3">
        <f t="shared" si="15"/>
        <v>0.1099875623327973</v>
      </c>
      <c r="AC80">
        <f t="shared" si="16"/>
        <v>9.8037627383376885E-3</v>
      </c>
      <c r="AD80" s="2">
        <f t="shared" si="17"/>
        <v>25987805.414493743</v>
      </c>
      <c r="AE80">
        <f t="shared" si="18"/>
        <v>21579198.047425915</v>
      </c>
      <c r="AF80" s="3">
        <f t="shared" si="19"/>
        <v>57666753.470929056</v>
      </c>
      <c r="AG80">
        <f t="shared" si="20"/>
        <v>-4408607.3670678316</v>
      </c>
      <c r="AI80" s="2">
        <f t="shared" si="21"/>
        <v>-200.43427355190079</v>
      </c>
      <c r="AJ80" s="2">
        <f t="shared" si="22"/>
        <v>1440.261382315636</v>
      </c>
      <c r="AK80">
        <f t="shared" si="23"/>
        <v>31678948.056435309</v>
      </c>
      <c r="AL80" s="18">
        <v>1.6689999999999999E-4</v>
      </c>
      <c r="AM80" s="18">
        <f t="shared" si="24"/>
        <v>5199.8905335114996</v>
      </c>
      <c r="AO80" s="2">
        <f t="shared" si="25"/>
        <v>179.76712632780973</v>
      </c>
      <c r="AP80" s="3">
        <f t="shared" si="26"/>
        <v>178.71294076836932</v>
      </c>
      <c r="AR80">
        <v>0.53939393939393898</v>
      </c>
      <c r="AS80">
        <v>62.125330369169021</v>
      </c>
      <c r="AT80">
        <v>11.847758394800865</v>
      </c>
      <c r="AU80">
        <v>11.766705667213397</v>
      </c>
      <c r="AV80">
        <v>65.231596887627475</v>
      </c>
      <c r="AW80">
        <v>9.9965461456132285</v>
      </c>
      <c r="AX80">
        <v>11.66446350364726</v>
      </c>
      <c r="BG80">
        <v>0.51010101010101006</v>
      </c>
      <c r="BH80">
        <v>46.159480778592432</v>
      </c>
      <c r="BI80">
        <v>17.953659087814952</v>
      </c>
      <c r="BN80">
        <v>0.48080808080808102</v>
      </c>
      <c r="BO80">
        <v>81.608332159246501</v>
      </c>
      <c r="BP80">
        <v>9.8082984424992663</v>
      </c>
      <c r="BQ80">
        <v>11.259391269489758</v>
      </c>
    </row>
    <row r="81" spans="1:69" ht="14.65" thickBot="1" x14ac:dyDescent="0.5">
      <c r="A81" s="2">
        <v>0.70099999999999996</v>
      </c>
      <c r="B81">
        <v>56000</v>
      </c>
      <c r="C81">
        <v>1.7111111111111099</v>
      </c>
      <c r="D81" s="5">
        <f t="shared" si="1"/>
        <v>1</v>
      </c>
      <c r="F81" s="2">
        <v>389.97</v>
      </c>
      <c r="G81" s="3">
        <v>2.8454000000000001E-4</v>
      </c>
      <c r="H81">
        <v>1.3428015729196999E-2</v>
      </c>
      <c r="I81">
        <v>0.11071573886406599</v>
      </c>
      <c r="J81">
        <v>0</v>
      </c>
      <c r="K81" s="13">
        <v>968.07579999999996</v>
      </c>
      <c r="L81">
        <f t="shared" si="2"/>
        <v>1656.4852577777765</v>
      </c>
      <c r="M81">
        <f t="shared" si="3"/>
        <v>390.38082883187866</v>
      </c>
      <c r="N81" s="2">
        <f t="shared" si="4"/>
        <v>0.75183635697622853</v>
      </c>
      <c r="O81">
        <f t="shared" si="5"/>
        <v>1.1920968765329742</v>
      </c>
      <c r="P81" s="4">
        <f t="shared" si="6"/>
        <v>8.9977743824213224E-2</v>
      </c>
      <c r="Q81">
        <f t="shared" si="0"/>
        <v>0.45164155369087333</v>
      </c>
      <c r="R81">
        <f t="shared" si="30"/>
        <v>9.6075568880902129E-2</v>
      </c>
      <c r="S81" s="3">
        <f t="shared" si="28"/>
        <v>0.23245003983340062</v>
      </c>
      <c r="T81" s="2">
        <f t="shared" si="9"/>
        <v>0.13647186558678021</v>
      </c>
      <c r="U81" s="3">
        <f t="shared" si="10"/>
        <v>1.5490048768482737E-2</v>
      </c>
      <c r="V81">
        <v>1.7111111111111099</v>
      </c>
      <c r="W81" s="13">
        <f t="shared" si="27"/>
        <v>16.405560042593109</v>
      </c>
      <c r="X81" s="2">
        <f t="shared" si="11"/>
        <v>12.297672816755473</v>
      </c>
      <c r="Y81" s="3">
        <f t="shared" si="12"/>
        <v>35.332406054676895</v>
      </c>
      <c r="Z81" s="13">
        <f t="shared" si="13"/>
        <v>8.8102928290617477</v>
      </c>
      <c r="AA81" s="2">
        <f t="shared" si="14"/>
        <v>0.11350360531733825</v>
      </c>
      <c r="AB81" s="3">
        <f t="shared" si="15"/>
        <v>0.11301991380250082</v>
      </c>
      <c r="AC81">
        <f t="shared" si="16"/>
        <v>9.9038370342043654E-3</v>
      </c>
      <c r="AD81" s="2">
        <f t="shared" si="17"/>
        <v>27175568.356143635</v>
      </c>
      <c r="AE81">
        <f t="shared" si="18"/>
        <v>20370913.725929942</v>
      </c>
      <c r="AF81" s="3">
        <f t="shared" si="19"/>
        <v>58527609.751390524</v>
      </c>
      <c r="AG81">
        <f t="shared" si="20"/>
        <v>-6804654.6302136919</v>
      </c>
      <c r="AI81" s="2">
        <f t="shared" si="21"/>
        <v>-309.36889906927257</v>
      </c>
      <c r="AJ81" s="2">
        <f t="shared" si="22"/>
        <v>1425.3987978986077</v>
      </c>
      <c r="AK81">
        <f t="shared" si="23"/>
        <v>31352041.395246893</v>
      </c>
      <c r="AL81" s="18">
        <v>1.6689999999999999E-4</v>
      </c>
      <c r="AM81" s="18">
        <f t="shared" si="24"/>
        <v>5147.3477279374802</v>
      </c>
      <c r="AN81" t="s">
        <v>52</v>
      </c>
      <c r="AO81" s="2">
        <f t="shared" si="25"/>
        <v>187.98331570484669</v>
      </c>
      <c r="AP81" s="3">
        <f t="shared" si="26"/>
        <v>186.81750861621859</v>
      </c>
      <c r="AR81">
        <v>0.56868686868686902</v>
      </c>
      <c r="AS81">
        <v>56.129969045407215</v>
      </c>
      <c r="AT81">
        <v>11.977203230841448</v>
      </c>
      <c r="AU81">
        <v>11.895264946958555</v>
      </c>
      <c r="AV81">
        <v>58.936467497677576</v>
      </c>
      <c r="AW81">
        <v>10.105765226022472</v>
      </c>
      <c r="AX81">
        <v>11.89153751233736</v>
      </c>
      <c r="BG81">
        <v>0.53939393939393898</v>
      </c>
      <c r="BH81">
        <v>41.68980665469978</v>
      </c>
      <c r="BI81">
        <v>18.133480126073923</v>
      </c>
      <c r="BN81">
        <v>0.51010101010101006</v>
      </c>
      <c r="BO81">
        <v>72.692333753938271</v>
      </c>
      <c r="BP81">
        <v>9.8974151848483878</v>
      </c>
      <c r="BQ81">
        <v>11.453908345352506</v>
      </c>
    </row>
    <row r="82" spans="1:69" ht="14.65" thickBot="1" x14ac:dyDescent="0.5">
      <c r="A82" s="2">
        <v>0.70099999999999996</v>
      </c>
      <c r="B82">
        <v>56000</v>
      </c>
      <c r="C82">
        <v>1.74040404040404</v>
      </c>
      <c r="D82" s="5">
        <f t="shared" si="1"/>
        <v>1</v>
      </c>
      <c r="F82" s="2">
        <v>389.97</v>
      </c>
      <c r="G82" s="3">
        <v>2.8454000000000001E-4</v>
      </c>
      <c r="H82">
        <v>1.3420971963763E-2</v>
      </c>
      <c r="I82">
        <v>0.112919761895731</v>
      </c>
      <c r="J82">
        <v>0</v>
      </c>
      <c r="K82" s="13">
        <v>968.07579999999996</v>
      </c>
      <c r="L82">
        <f t="shared" si="2"/>
        <v>1684.8430337373732</v>
      </c>
      <c r="M82">
        <f t="shared" si="3"/>
        <v>403.86128679638648</v>
      </c>
      <c r="N82" s="2">
        <f t="shared" si="4"/>
        <v>0.75183635697622853</v>
      </c>
      <c r="O82">
        <f t="shared" si="5"/>
        <v>1.2072997578964775</v>
      </c>
      <c r="P82" s="4">
        <f t="shared" si="6"/>
        <v>8.9977743824213224E-2</v>
      </c>
      <c r="Q82">
        <f t="shared" si="0"/>
        <v>0.47212431195578936</v>
      </c>
      <c r="R82">
        <f t="shared" si="30"/>
        <v>8.7805580800194807E-2</v>
      </c>
      <c r="S82" s="3">
        <f t="shared" si="28"/>
        <v>0.23149387310975036</v>
      </c>
      <c r="T82" s="2">
        <f t="shared" si="9"/>
        <v>0.13191658062254427</v>
      </c>
      <c r="U82" s="3">
        <f t="shared" si="10"/>
        <v>1.5385999881012108E-2</v>
      </c>
      <c r="V82">
        <v>1.74040404040404</v>
      </c>
      <c r="W82" s="13">
        <f t="shared" si="27"/>
        <v>16.858065744843149</v>
      </c>
      <c r="X82" s="2">
        <f t="shared" si="11"/>
        <v>11.239114342424935</v>
      </c>
      <c r="Y82" s="3">
        <f t="shared" si="12"/>
        <v>35.187068712682056</v>
      </c>
      <c r="Z82" s="13">
        <f t="shared" si="13"/>
        <v>8.5738061642222405</v>
      </c>
      <c r="AA82" s="2">
        <f t="shared" si="14"/>
        <v>0.116634313961157</v>
      </c>
      <c r="AB82" s="3">
        <f t="shared" si="15"/>
        <v>0.11610970849865108</v>
      </c>
      <c r="AC82">
        <f t="shared" si="16"/>
        <v>1.0005718875453961E-2</v>
      </c>
      <c r="AD82" s="2">
        <f t="shared" si="17"/>
        <v>28403194.632485621</v>
      </c>
      <c r="AE82">
        <f t="shared" si="18"/>
        <v>18936143.505212452</v>
      </c>
      <c r="AF82" s="3">
        <f t="shared" si="19"/>
        <v>59284687.598200642</v>
      </c>
      <c r="AG82">
        <f t="shared" si="20"/>
        <v>-9467051.1272731703</v>
      </c>
      <c r="AI82" s="2">
        <f t="shared" si="21"/>
        <v>-430.41290761071895</v>
      </c>
      <c r="AJ82" s="2">
        <f t="shared" si="22"/>
        <v>1404.0056401978945</v>
      </c>
      <c r="AK82">
        <f t="shared" si="23"/>
        <v>30881492.965715021</v>
      </c>
      <c r="AL82" s="18">
        <v>1.6689999999999999E-4</v>
      </c>
      <c r="AM82" s="18">
        <f t="shared" si="24"/>
        <v>5094.9355753873315</v>
      </c>
      <c r="AO82" s="2">
        <f t="shared" si="25"/>
        <v>196.47525430384161</v>
      </c>
      <c r="AP82" s="3">
        <f t="shared" si="26"/>
        <v>195.18737412797236</v>
      </c>
      <c r="AR82">
        <v>0.59797979797979794</v>
      </c>
      <c r="AS82">
        <v>51.034715126758279</v>
      </c>
      <c r="AT82">
        <v>12.11870890033831</v>
      </c>
      <c r="AU82">
        <v>12.035802549746119</v>
      </c>
      <c r="AV82">
        <v>53.586450883096198</v>
      </c>
      <c r="AW82">
        <v>10.225160634660449</v>
      </c>
      <c r="AX82">
        <v>12.135657571753626</v>
      </c>
      <c r="BG82">
        <v>0.56868686868686902</v>
      </c>
      <c r="BH82">
        <v>37.955078140970691</v>
      </c>
      <c r="BI82">
        <v>18.331600756453664</v>
      </c>
      <c r="BN82">
        <v>0.53939393939393898</v>
      </c>
      <c r="BO82">
        <v>65.231596887627475</v>
      </c>
      <c r="BP82">
        <v>9.9965461456132285</v>
      </c>
      <c r="BQ82">
        <v>11.66446350364726</v>
      </c>
    </row>
    <row r="83" spans="1:69" ht="14.65" thickBot="1" x14ac:dyDescent="0.5">
      <c r="A83" s="2">
        <v>0.70099999999999996</v>
      </c>
      <c r="B83">
        <v>56000</v>
      </c>
      <c r="C83">
        <v>1.76969696969697</v>
      </c>
      <c r="D83" s="5">
        <f t="shared" si="1"/>
        <v>1</v>
      </c>
      <c r="F83" s="2">
        <v>389.97</v>
      </c>
      <c r="G83" s="3">
        <v>2.8454000000000001E-4</v>
      </c>
      <c r="H83">
        <v>1.3414164297208001E-2</v>
      </c>
      <c r="I83">
        <v>0.115112775441816</v>
      </c>
      <c r="J83">
        <v>0</v>
      </c>
      <c r="K83" s="13">
        <v>968.07579999999996</v>
      </c>
      <c r="L83">
        <f t="shared" si="2"/>
        <v>1713.2008096969698</v>
      </c>
      <c r="M83">
        <f t="shared" si="3"/>
        <v>417.57056143105569</v>
      </c>
      <c r="N83" s="2">
        <f t="shared" si="4"/>
        <v>0.75183635697622853</v>
      </c>
      <c r="O83">
        <f t="shared" si="5"/>
        <v>1.222760692265273</v>
      </c>
      <c r="P83" s="4">
        <f t="shared" si="6"/>
        <v>8.9977743824213224E-2</v>
      </c>
      <c r="Q83">
        <f t="shared" si="0"/>
        <v>0.49362666260550175</v>
      </c>
      <c r="R83">
        <f t="shared" si="30"/>
        <v>7.8677910823217623E-2</v>
      </c>
      <c r="S83" s="3">
        <f t="shared" si="28"/>
        <v>0.23011758023031131</v>
      </c>
      <c r="T83" s="2">
        <f t="shared" si="9"/>
        <v>0.12758562245723901</v>
      </c>
      <c r="U83" s="3">
        <f t="shared" si="10"/>
        <v>1.5287980537766095E-2</v>
      </c>
      <c r="V83">
        <v>1.76969696969697</v>
      </c>
      <c r="W83" s="13">
        <f t="shared" si="27"/>
        <v>17.319278202027434</v>
      </c>
      <c r="X83" s="2">
        <f t="shared" si="11"/>
        <v>10.070772585371854</v>
      </c>
      <c r="Y83" s="3">
        <f t="shared" si="12"/>
        <v>34.977872195007322</v>
      </c>
      <c r="Z83" s="13">
        <f t="shared" si="13"/>
        <v>8.3454856671267077</v>
      </c>
      <c r="AA83" s="2">
        <f t="shared" si="14"/>
        <v>0.1198252612114656</v>
      </c>
      <c r="AB83" s="3">
        <f t="shared" si="15"/>
        <v>0.11925666418976512</v>
      </c>
      <c r="AC83">
        <f t="shared" si="16"/>
        <v>1.0109310072700035E-2</v>
      </c>
      <c r="AD83" s="2">
        <f t="shared" si="17"/>
        <v>29671401.43908048</v>
      </c>
      <c r="AE83">
        <f t="shared" si="18"/>
        <v>17253255.747533105</v>
      </c>
      <c r="AF83" s="3">
        <f t="shared" si="19"/>
        <v>59924118.965963677</v>
      </c>
      <c r="AG83">
        <f t="shared" si="20"/>
        <v>-12418145.691547373</v>
      </c>
      <c r="AI83" s="2">
        <f t="shared" si="21"/>
        <v>-564.58237336803597</v>
      </c>
      <c r="AJ83" s="2">
        <f t="shared" si="22"/>
        <v>1375.4188013582732</v>
      </c>
      <c r="AK83">
        <f t="shared" si="23"/>
        <v>30252717.526883192</v>
      </c>
      <c r="AL83" s="18">
        <v>1.6689999999999999E-4</v>
      </c>
      <c r="AM83" s="18">
        <f t="shared" si="24"/>
        <v>5042.7272177100558</v>
      </c>
      <c r="AO83" s="2">
        <f t="shared" si="25"/>
        <v>205.24790322800885</v>
      </c>
      <c r="AP83" s="3">
        <f t="shared" si="26"/>
        <v>203.82666848478382</v>
      </c>
      <c r="AR83">
        <v>0.62727272727272698</v>
      </c>
      <c r="AS83">
        <v>46.677431079705165</v>
      </c>
      <c r="AT83">
        <v>12.272396133139026</v>
      </c>
      <c r="AU83">
        <v>12.188438379488232</v>
      </c>
      <c r="AV83">
        <v>49.011302633690427</v>
      </c>
      <c r="AW83">
        <v>10.354834237336053</v>
      </c>
      <c r="AX83">
        <v>12.397397431061059</v>
      </c>
      <c r="BG83">
        <v>0.59797979797979794</v>
      </c>
      <c r="BH83">
        <v>34.818092149314175</v>
      </c>
      <c r="BI83">
        <v>18.548180987079753</v>
      </c>
      <c r="BN83">
        <v>0.56868686868686902</v>
      </c>
      <c r="BO83">
        <v>58.936467497677576</v>
      </c>
      <c r="BP83">
        <v>10.105765226022472</v>
      </c>
      <c r="BQ83">
        <v>11.89153751233736</v>
      </c>
    </row>
    <row r="84" spans="1:69" ht="14.65" thickBot="1" x14ac:dyDescent="0.5">
      <c r="A84" s="2">
        <v>0.70099999999999996</v>
      </c>
      <c r="B84">
        <v>56000</v>
      </c>
      <c r="C84">
        <v>1.79898989898989</v>
      </c>
      <c r="D84" s="5">
        <f t="shared" si="1"/>
        <v>1</v>
      </c>
      <c r="F84" s="2">
        <v>389.97</v>
      </c>
      <c r="G84" s="3">
        <v>2.8454000000000001E-4</v>
      </c>
      <c r="H84">
        <v>1.3407570468834E-2</v>
      </c>
      <c r="I84">
        <v>0.11729529827191</v>
      </c>
      <c r="J84">
        <v>0</v>
      </c>
      <c r="K84" s="13">
        <v>968.07579999999996</v>
      </c>
      <c r="L84">
        <f t="shared" si="2"/>
        <v>1741.5585856565569</v>
      </c>
      <c r="M84">
        <f t="shared" si="3"/>
        <v>431.50865273588153</v>
      </c>
      <c r="N84" s="2">
        <f t="shared" si="4"/>
        <v>0.75183635697622853</v>
      </c>
      <c r="O84">
        <f t="shared" si="5"/>
        <v>1.2384796796393549</v>
      </c>
      <c r="P84" s="4">
        <f t="shared" si="6"/>
        <v>8.9977743824213224E-2</v>
      </c>
      <c r="Q84">
        <f t="shared" si="0"/>
        <v>0.51619591819186594</v>
      </c>
      <c r="R84">
        <f t="shared" si="30"/>
        <v>6.8630173227273772E-2</v>
      </c>
      <c r="S84" s="3">
        <f t="shared" si="28"/>
        <v>0.2282850978249826</v>
      </c>
      <c r="T84" s="2">
        <f t="shared" si="9"/>
        <v>0.12346449987089657</v>
      </c>
      <c r="U84" s="3">
        <f t="shared" si="10"/>
        <v>1.5195559322160939E-2</v>
      </c>
      <c r="V84">
        <v>1.79898989898989</v>
      </c>
      <c r="W84" s="13">
        <f t="shared" si="27"/>
        <v>17.789182592118109</v>
      </c>
      <c r="X84" s="2">
        <f t="shared" si="11"/>
        <v>8.7846621730910428</v>
      </c>
      <c r="Y84" s="3">
        <f t="shared" si="12"/>
        <v>34.699334869397354</v>
      </c>
      <c r="Z84" s="13">
        <f t="shared" si="13"/>
        <v>8.1250381939438121</v>
      </c>
      <c r="AA84" s="2">
        <f t="shared" si="14"/>
        <v>0.12307634452049387</v>
      </c>
      <c r="AB84" s="3">
        <f t="shared" si="15"/>
        <v>0.1224604874940295</v>
      </c>
      <c r="AC84">
        <f t="shared" si="16"/>
        <v>1.0214518614894426E-2</v>
      </c>
      <c r="AD84" s="2">
        <f t="shared" si="17"/>
        <v>30980903.675115459</v>
      </c>
      <c r="AE84">
        <f t="shared" si="18"/>
        <v>15299003.829639092</v>
      </c>
      <c r="AF84" s="3">
        <f t="shared" si="19"/>
        <v>60430924.558370903</v>
      </c>
      <c r="AG84">
        <f t="shared" si="20"/>
        <v>-15681899.845476363</v>
      </c>
      <c r="AI84" s="2">
        <f t="shared" si="21"/>
        <v>-712.96669032521686</v>
      </c>
      <c r="AJ84" s="2">
        <f t="shared" si="22"/>
        <v>1338.924755676205</v>
      </c>
      <c r="AK84">
        <f t="shared" si="23"/>
        <v>29450020.883255448</v>
      </c>
      <c r="AL84" s="18">
        <v>1.6689999999999999E-4</v>
      </c>
      <c r="AM84" s="18">
        <f t="shared" si="24"/>
        <v>4990.7876208223861</v>
      </c>
      <c r="AO84" s="2">
        <f t="shared" si="25"/>
        <v>214.30620769570973</v>
      </c>
      <c r="AP84" s="3">
        <f t="shared" si="26"/>
        <v>212.73945456024424</v>
      </c>
      <c r="AR84">
        <v>0.65656565656565702</v>
      </c>
      <c r="AS84">
        <v>42.931321363158574</v>
      </c>
      <c r="AT84">
        <v>12.438401066571458</v>
      </c>
      <c r="AU84">
        <v>12.353307642171877</v>
      </c>
      <c r="AV84">
        <v>45.077887431316505</v>
      </c>
      <c r="AW84">
        <v>10.494900899919669</v>
      </c>
      <c r="AX84">
        <v>12.677377819788678</v>
      </c>
      <c r="BG84">
        <v>0.62727272727272698</v>
      </c>
      <c r="BH84">
        <v>32.1729138944334</v>
      </c>
      <c r="BI84">
        <v>18.783405599935296</v>
      </c>
      <c r="BN84">
        <v>0.59797979797979794</v>
      </c>
      <c r="BO84">
        <v>53.586450883096198</v>
      </c>
      <c r="BP84">
        <v>10.225160634660449</v>
      </c>
      <c r="BQ84">
        <v>12.135657571753626</v>
      </c>
    </row>
    <row r="85" spans="1:69" ht="14.65" thickBot="1" x14ac:dyDescent="0.5">
      <c r="A85" s="2">
        <v>0.70099999999999996</v>
      </c>
      <c r="B85">
        <v>56000</v>
      </c>
      <c r="C85">
        <v>1.8282828282828201</v>
      </c>
      <c r="D85" s="5">
        <f t="shared" si="1"/>
        <v>1</v>
      </c>
      <c r="F85" s="2">
        <v>389.97</v>
      </c>
      <c r="G85" s="3">
        <v>2.8454000000000001E-4</v>
      </c>
      <c r="H85">
        <v>1.3401171510606E-2</v>
      </c>
      <c r="I85">
        <v>0.119467830554199</v>
      </c>
      <c r="J85">
        <v>0</v>
      </c>
      <c r="K85" s="13">
        <v>968.07579999999996</v>
      </c>
      <c r="L85">
        <f t="shared" si="2"/>
        <v>1769.9163616161536</v>
      </c>
      <c r="M85">
        <f t="shared" si="3"/>
        <v>445.67556071087347</v>
      </c>
      <c r="N85" s="2">
        <f t="shared" si="4"/>
        <v>0.75183635697622853</v>
      </c>
      <c r="O85">
        <f t="shared" si="5"/>
        <v>1.2544567200187344</v>
      </c>
      <c r="P85" s="4">
        <f t="shared" si="6"/>
        <v>8.9977743824213224E-2</v>
      </c>
      <c r="Q85">
        <f t="shared" si="0"/>
        <v>0.53988138788564566</v>
      </c>
      <c r="R85">
        <f t="shared" si="30"/>
        <v>5.7596418178302938E-2</v>
      </c>
      <c r="S85" s="3">
        <f t="shared" si="28"/>
        <v>0.22595829703302261</v>
      </c>
      <c r="T85" s="2">
        <f t="shared" si="9"/>
        <v>0.11953987316473506</v>
      </c>
      <c r="U85" s="3">
        <f t="shared" si="10"/>
        <v>1.5108340678772519E-2</v>
      </c>
      <c r="V85">
        <v>1.8282828282828201</v>
      </c>
      <c r="W85" s="13">
        <f t="shared" si="27"/>
        <v>18.267763585886168</v>
      </c>
      <c r="X85" s="2">
        <f t="shared" si="11"/>
        <v>7.3723415268227761</v>
      </c>
      <c r="Y85" s="3">
        <f t="shared" si="12"/>
        <v>34.345661149019442</v>
      </c>
      <c r="Z85" s="13">
        <f t="shared" si="13"/>
        <v>7.9121774989288314</v>
      </c>
      <c r="AA85" s="2">
        <f t="shared" si="14"/>
        <v>0.12638745783134697</v>
      </c>
      <c r="AB85" s="3">
        <f t="shared" si="15"/>
        <v>0.12572087278057389</v>
      </c>
      <c r="AC85">
        <f t="shared" si="16"/>
        <v>1.0321258101261593E-2</v>
      </c>
      <c r="AD85" s="2">
        <f t="shared" si="17"/>
        <v>32332413.660795707</v>
      </c>
      <c r="AE85">
        <f t="shared" si="18"/>
        <v>13048427.891745847</v>
      </c>
      <c r="AF85" s="3">
        <f t="shared" si="19"/>
        <v>60788947.618173771</v>
      </c>
      <c r="AG85">
        <f t="shared" si="20"/>
        <v>-19283985.769049861</v>
      </c>
      <c r="AI85" s="2">
        <f t="shared" si="21"/>
        <v>-876.73302632423599</v>
      </c>
      <c r="AJ85" s="2">
        <f t="shared" si="22"/>
        <v>1293.7565622555271</v>
      </c>
      <c r="AK85">
        <f t="shared" si="23"/>
        <v>28456533.957378063</v>
      </c>
      <c r="AL85" s="18">
        <v>1.6689999999999999E-4</v>
      </c>
      <c r="AM85" s="18">
        <f t="shared" si="24"/>
        <v>4939.1743289167125</v>
      </c>
      <c r="AO85" s="2">
        <f t="shared" si="25"/>
        <v>223.65509508554592</v>
      </c>
      <c r="AP85" s="3">
        <f t="shared" si="26"/>
        <v>221.92972270749675</v>
      </c>
      <c r="AR85" s="4">
        <v>0.68585858585858595</v>
      </c>
      <c r="AS85">
        <v>39.696075460558518</v>
      </c>
      <c r="AT85">
        <v>12.616874452935186</v>
      </c>
      <c r="AU85">
        <v>12.530560058772</v>
      </c>
      <c r="AV85">
        <v>41.680879233586445</v>
      </c>
      <c r="AW85">
        <v>10.645487819664062</v>
      </c>
      <c r="AX85">
        <v>12.976267139765376</v>
      </c>
      <c r="BG85">
        <v>0.65656565656565702</v>
      </c>
      <c r="BH85">
        <v>29.936699767384088</v>
      </c>
      <c r="BI85">
        <v>19.03748295878389</v>
      </c>
      <c r="BN85">
        <v>0.62727272727272698</v>
      </c>
      <c r="BO85">
        <v>49.011302633690427</v>
      </c>
      <c r="BP85">
        <v>10.354834237336053</v>
      </c>
      <c r="BQ85">
        <v>12.397397431061059</v>
      </c>
    </row>
    <row r="86" spans="1:69" ht="14.65" thickBot="1" x14ac:dyDescent="0.5">
      <c r="A86" s="2">
        <v>0.70099999999999996</v>
      </c>
      <c r="B86">
        <v>56000</v>
      </c>
      <c r="C86">
        <v>1.8575757575757501</v>
      </c>
      <c r="D86" s="5">
        <f t="shared" si="1"/>
        <v>1</v>
      </c>
      <c r="F86" s="2">
        <v>389.97</v>
      </c>
      <c r="G86" s="3">
        <v>2.8454000000000001E-4</v>
      </c>
      <c r="H86">
        <v>1.3394951103146001E-2</v>
      </c>
      <c r="I86">
        <v>0.121630851259595</v>
      </c>
      <c r="J86">
        <v>0</v>
      </c>
      <c r="K86" s="13">
        <v>968.07579999999996</v>
      </c>
      <c r="L86">
        <f t="shared" si="2"/>
        <v>1798.2741375757503</v>
      </c>
      <c r="M86">
        <f t="shared" si="3"/>
        <v>460.07128535602675</v>
      </c>
      <c r="N86" s="2">
        <f t="shared" si="4"/>
        <v>0.75183635697622853</v>
      </c>
      <c r="O86">
        <f t="shared" si="5"/>
        <v>1.2706918134034058</v>
      </c>
      <c r="P86" s="4">
        <f t="shared" si="6"/>
        <v>8.9977743824213224E-2</v>
      </c>
      <c r="Q86">
        <f t="shared" si="0"/>
        <v>0.5647344472172009</v>
      </c>
      <c r="R86">
        <f t="shared" si="30"/>
        <v>4.5506964809641441E-2</v>
      </c>
      <c r="S86" s="3">
        <f t="shared" si="28"/>
        <v>0.22309689313327527</v>
      </c>
      <c r="T86" s="2">
        <f t="shared" si="9"/>
        <v>0.1157994460766494</v>
      </c>
      <c r="U86" s="3">
        <f t="shared" si="10"/>
        <v>1.5025961427610573E-2</v>
      </c>
      <c r="V86">
        <v>1.8575757575757501</v>
      </c>
      <c r="W86" s="13">
        <f t="shared" si="27"/>
        <v>18.755005320859603</v>
      </c>
      <c r="X86" s="2">
        <f t="shared" si="11"/>
        <v>5.8248914956341045</v>
      </c>
      <c r="Y86" s="3">
        <f t="shared" si="12"/>
        <v>33.910727756257842</v>
      </c>
      <c r="Z86" s="13">
        <f t="shared" si="13"/>
        <v>7.7066247397564238</v>
      </c>
      <c r="AA86" s="2">
        <f t="shared" si="14"/>
        <v>0.12975849139783158</v>
      </c>
      <c r="AB86" s="3">
        <f t="shared" si="15"/>
        <v>0.12903750178216145</v>
      </c>
      <c r="AC86">
        <f t="shared" si="16"/>
        <v>1.0429447284463083E-2</v>
      </c>
      <c r="AD86" s="2">
        <f t="shared" si="17"/>
        <v>33726641.018597409</v>
      </c>
      <c r="AE86">
        <f t="shared" si="18"/>
        <v>10474751.73078374</v>
      </c>
      <c r="AF86" s="3">
        <f t="shared" si="19"/>
        <v>60980784.710450627</v>
      </c>
      <c r="AG86">
        <f t="shared" si="20"/>
        <v>-23251889.287813671</v>
      </c>
      <c r="AI86" s="2">
        <f t="shared" si="21"/>
        <v>-1057.1310053432685</v>
      </c>
      <c r="AJ86" s="2">
        <f t="shared" si="22"/>
        <v>1239.0907235154716</v>
      </c>
      <c r="AK86">
        <f t="shared" si="23"/>
        <v>27254143.69185321</v>
      </c>
      <c r="AL86" s="18">
        <v>1.6689999999999999E-4</v>
      </c>
      <c r="AM86" s="18">
        <f t="shared" si="24"/>
        <v>4887.9381299350716</v>
      </c>
      <c r="AO86" s="2">
        <f t="shared" si="25"/>
        <v>233.29947411494422</v>
      </c>
      <c r="AP86" s="3">
        <f t="shared" si="26"/>
        <v>231.40138762693647</v>
      </c>
      <c r="AR86">
        <v>0.71515151515151498</v>
      </c>
      <c r="AS86">
        <v>36.891496317768492</v>
      </c>
      <c r="AT86">
        <v>12.807980847952019</v>
      </c>
      <c r="AU86">
        <v>12.72035905925399</v>
      </c>
      <c r="AV86">
        <v>38.736071133656921</v>
      </c>
      <c r="AW86">
        <v>10.806733840459517</v>
      </c>
      <c r="AX86">
        <v>13.294782377998008</v>
      </c>
      <c r="BG86" s="4">
        <v>0.68585858585858595</v>
      </c>
      <c r="BH86">
        <v>28.043910513902979</v>
      </c>
      <c r="BI86">
        <v>19.310643796202719</v>
      </c>
      <c r="BN86">
        <v>0.65656565656565702</v>
      </c>
      <c r="BO86">
        <v>45.077887431316505</v>
      </c>
      <c r="BP86">
        <v>10.494900899919669</v>
      </c>
      <c r="BQ86">
        <v>12.677377819788678</v>
      </c>
    </row>
    <row r="87" spans="1:69" ht="14.65" thickBot="1" x14ac:dyDescent="0.5">
      <c r="A87" s="2">
        <v>0.70099999999999996</v>
      </c>
      <c r="B87">
        <v>56000</v>
      </c>
      <c r="C87">
        <v>1.8868686868686799</v>
      </c>
      <c r="D87" s="5">
        <f t="shared" si="1"/>
        <v>1</v>
      </c>
      <c r="F87" s="2">
        <v>389.97</v>
      </c>
      <c r="G87" s="3">
        <v>2.8454000000000001E-4</v>
      </c>
      <c r="H87">
        <v>1.3388895085162E-2</v>
      </c>
      <c r="I87">
        <v>0.123784816850587</v>
      </c>
      <c r="J87">
        <v>0</v>
      </c>
      <c r="K87" s="13">
        <v>968.07579999999996</v>
      </c>
      <c r="L87">
        <f t="shared" si="2"/>
        <v>1826.6319135353467</v>
      </c>
      <c r="M87">
        <f t="shared" si="3"/>
        <v>474.69582667134131</v>
      </c>
      <c r="N87" s="2">
        <f t="shared" si="4"/>
        <v>0.75183635697622853</v>
      </c>
      <c r="O87">
        <f t="shared" si="5"/>
        <v>1.2871849597933693</v>
      </c>
      <c r="P87" s="4">
        <f t="shared" si="6"/>
        <v>8.9977743824213224E-2</v>
      </c>
      <c r="Q87">
        <f t="shared" si="0"/>
        <v>0.59080860968950621</v>
      </c>
      <c r="R87">
        <f t="shared" si="30"/>
        <v>3.2288228293473463E-2</v>
      </c>
      <c r="S87" s="3">
        <f t="shared" si="28"/>
        <v>0.2196583524198791</v>
      </c>
      <c r="T87" s="2">
        <f t="shared" si="9"/>
        <v>0.11223186935006695</v>
      </c>
      <c r="U87" s="3">
        <f t="shared" si="10"/>
        <v>1.4948087709554841E-2</v>
      </c>
      <c r="V87">
        <v>1.8868686868686799</v>
      </c>
      <c r="W87" s="13">
        <f t="shared" si="27"/>
        <v>19.25089143467746</v>
      </c>
      <c r="X87" s="2">
        <f t="shared" si="11"/>
        <v>4.1328932215646033</v>
      </c>
      <c r="Y87" s="3">
        <f t="shared" si="12"/>
        <v>33.388069567821624</v>
      </c>
      <c r="Z87" s="13">
        <f t="shared" si="13"/>
        <v>7.5081088317623506</v>
      </c>
      <c r="AA87" s="2">
        <f t="shared" si="14"/>
        <v>0.13318933201521982</v>
      </c>
      <c r="AB87" s="3">
        <f t="shared" si="15"/>
        <v>0.13241004361721539</v>
      </c>
      <c r="AC87">
        <f t="shared" si="16"/>
        <v>1.0539009688831291E-2</v>
      </c>
      <c r="AD87" s="2">
        <f t="shared" si="17"/>
        <v>35164292.658586107</v>
      </c>
      <c r="AE87">
        <f t="shared" si="18"/>
        <v>7549274.6537438156</v>
      </c>
      <c r="AF87" s="3">
        <f t="shared" si="19"/>
        <v>60987713.403921291</v>
      </c>
      <c r="AG87">
        <f t="shared" si="20"/>
        <v>-27615018.004842285</v>
      </c>
      <c r="AI87" s="2">
        <f t="shared" si="21"/>
        <v>-1255.4976236417613</v>
      </c>
      <c r="AJ87" s="2">
        <f t="shared" si="22"/>
        <v>1174.0438979393252</v>
      </c>
      <c r="AK87">
        <f t="shared" si="23"/>
        <v>25823420.745335184</v>
      </c>
      <c r="AL87" s="18">
        <v>1.6689999999999999E-4</v>
      </c>
      <c r="AM87" s="18">
        <f t="shared" si="24"/>
        <v>4837.1236540278869</v>
      </c>
      <c r="AO87" s="2">
        <f t="shared" si="25"/>
        <v>243.2442347385979</v>
      </c>
      <c r="AP87" s="3">
        <f t="shared" si="26"/>
        <v>241.15828590613395</v>
      </c>
      <c r="AR87">
        <v>0.74444444444444402</v>
      </c>
      <c r="AS87">
        <v>34.452847923063494</v>
      </c>
      <c r="AT87">
        <v>13.011897774698376</v>
      </c>
      <c r="AU87">
        <v>12.922880952225745</v>
      </c>
      <c r="AV87">
        <v>36.175490319216671</v>
      </c>
      <c r="AW87">
        <v>10.978788747401754</v>
      </c>
      <c r="AX87">
        <v>13.633690211640221</v>
      </c>
      <c r="BG87">
        <v>0.71515151515151498</v>
      </c>
      <c r="BH87">
        <v>26.442148286760652</v>
      </c>
      <c r="BI87">
        <v>19.60313997147281</v>
      </c>
      <c r="BN87" s="4">
        <v>0.68585858585858595</v>
      </c>
      <c r="BO87">
        <v>41.680879233586445</v>
      </c>
      <c r="BP87">
        <v>10.645487819664062</v>
      </c>
      <c r="BQ87">
        <v>12.976267139765376</v>
      </c>
    </row>
    <row r="88" spans="1:69" ht="14.65" thickBot="1" x14ac:dyDescent="0.5">
      <c r="A88" s="2">
        <v>0.70099999999999996</v>
      </c>
      <c r="B88">
        <v>56000</v>
      </c>
      <c r="C88">
        <v>1.91616161616161</v>
      </c>
      <c r="D88" s="5">
        <f t="shared" si="1"/>
        <v>1</v>
      </c>
      <c r="F88" s="2">
        <v>389.97</v>
      </c>
      <c r="G88" s="3">
        <v>2.8454000000000001E-4</v>
      </c>
      <c r="H88">
        <v>1.3382991073857001E-2</v>
      </c>
      <c r="I88">
        <v>0.125930160842152</v>
      </c>
      <c r="J88">
        <v>0</v>
      </c>
      <c r="K88" s="13">
        <v>968.07579999999996</v>
      </c>
      <c r="L88">
        <f t="shared" si="2"/>
        <v>1854.9896894949434</v>
      </c>
      <c r="M88">
        <f t="shared" si="3"/>
        <v>489.54918465681737</v>
      </c>
      <c r="N88" s="2">
        <f t="shared" si="4"/>
        <v>0.75183635697622853</v>
      </c>
      <c r="O88">
        <f t="shared" si="5"/>
        <v>1.3039361591886254</v>
      </c>
      <c r="P88" s="4">
        <f t="shared" si="6"/>
        <v>8.9977743824213224E-2</v>
      </c>
      <c r="Q88">
        <f t="shared" si="0"/>
        <v>0.61815960029187644</v>
      </c>
      <c r="R88">
        <f t="shared" si="30"/>
        <v>1.7862540751756761E-2</v>
      </c>
      <c r="S88" s="3">
        <f t="shared" si="28"/>
        <v>0.21559779627434419</v>
      </c>
      <c r="T88" s="2">
        <f t="shared" si="9"/>
        <v>0.10882665454207102</v>
      </c>
      <c r="U88" s="3">
        <f t="shared" si="10"/>
        <v>1.4874412284988838E-2</v>
      </c>
      <c r="V88">
        <v>1.91616161616161</v>
      </c>
      <c r="W88" s="13">
        <f t="shared" si="27"/>
        <v>19.755405130469963</v>
      </c>
      <c r="X88" s="2">
        <f t="shared" si="11"/>
        <v>2.2864052162248654</v>
      </c>
      <c r="Y88" s="3">
        <f t="shared" si="12"/>
        <v>32.770865033700318</v>
      </c>
      <c r="Z88" s="13">
        <f t="shared" si="13"/>
        <v>7.3163666877714686</v>
      </c>
      <c r="AA88" s="2">
        <f t="shared" si="14"/>
        <v>0.13667986347258865</v>
      </c>
      <c r="AB88" s="3">
        <f t="shared" si="15"/>
        <v>0.13583815503337976</v>
      </c>
      <c r="AC88">
        <f t="shared" si="16"/>
        <v>1.0649873280885326E-2</v>
      </c>
      <c r="AD88" s="2">
        <f t="shared" si="17"/>
        <v>36646072.828817293</v>
      </c>
      <c r="AE88">
        <f t="shared" si="18"/>
        <v>4241258.1021045819</v>
      </c>
      <c r="AF88" s="3">
        <f t="shared" si="19"/>
        <v>60789616.753344454</v>
      </c>
      <c r="AG88">
        <f t="shared" si="20"/>
        <v>-32404814.726712707</v>
      </c>
      <c r="AI88" s="2">
        <f t="shared" si="21"/>
        <v>-1473.2624065935931</v>
      </c>
      <c r="AJ88" s="2">
        <f t="shared" si="22"/>
        <v>1097.6694644276208</v>
      </c>
      <c r="AK88">
        <f t="shared" si="23"/>
        <v>24143543.924527165</v>
      </c>
      <c r="AL88" s="18">
        <v>1.6689999999999999E-4</v>
      </c>
      <c r="AM88" s="18">
        <f t="shared" si="24"/>
        <v>4786.7699184151288</v>
      </c>
      <c r="AO88" s="2">
        <f t="shared" si="25"/>
        <v>253.49424849710601</v>
      </c>
      <c r="AP88" s="3">
        <f t="shared" si="26"/>
        <v>251.20417396676936</v>
      </c>
      <c r="AR88">
        <v>0.77373737373737395</v>
      </c>
      <c r="AS88">
        <v>32.327411647708445</v>
      </c>
      <c r="AT88">
        <v>13.228814857448455</v>
      </c>
      <c r="AU88">
        <v>13.138314064706398</v>
      </c>
      <c r="AV88">
        <v>33.943782230093866</v>
      </c>
      <c r="AW88">
        <v>11.161812535972134</v>
      </c>
      <c r="AX88">
        <v>13.993808283743359</v>
      </c>
      <c r="BG88">
        <v>0.74444444444444402</v>
      </c>
      <c r="BH88">
        <v>25.089116923222239</v>
      </c>
      <c r="BI88">
        <v>19.91524319094324</v>
      </c>
      <c r="BN88">
        <v>0.71515151515151498</v>
      </c>
      <c r="BO88">
        <v>38.736071133656921</v>
      </c>
      <c r="BP88">
        <v>10.806733840459517</v>
      </c>
      <c r="BQ88">
        <v>13.294782377998008</v>
      </c>
    </row>
    <row r="89" spans="1:69" ht="14.65" thickBot="1" x14ac:dyDescent="0.5">
      <c r="A89" s="2">
        <v>0.70099999999999996</v>
      </c>
      <c r="B89">
        <v>56000</v>
      </c>
      <c r="C89">
        <v>1.94545454545454</v>
      </c>
      <c r="D89" s="5">
        <f t="shared" si="1"/>
        <v>1</v>
      </c>
      <c r="F89" s="2">
        <v>389.97</v>
      </c>
      <c r="G89" s="3">
        <v>2.8454000000000001E-4</v>
      </c>
      <c r="H89">
        <v>1.33772281671E-2</v>
      </c>
      <c r="I89">
        <v>0.12806729394827099</v>
      </c>
      <c r="J89">
        <v>0</v>
      </c>
      <c r="K89" s="13">
        <v>968.07579999999996</v>
      </c>
      <c r="L89">
        <f t="shared" si="2"/>
        <v>1883.34746545454</v>
      </c>
      <c r="M89">
        <f t="shared" si="3"/>
        <v>504.63135931245489</v>
      </c>
      <c r="N89" s="2">
        <f t="shared" si="4"/>
        <v>0.75183635697622853</v>
      </c>
      <c r="O89">
        <f t="shared" si="5"/>
        <v>1.3209454115891734</v>
      </c>
      <c r="P89" s="4">
        <f t="shared" si="6"/>
        <v>8.9977743824213224E-2</v>
      </c>
      <c r="Q89">
        <f t="shared" si="0"/>
        <v>0.64684543094302738</v>
      </c>
      <c r="R89">
        <f t="shared" si="30"/>
        <v>2.1479658512910055E-3</v>
      </c>
      <c r="S89" s="3">
        <f t="shared" si="28"/>
        <v>0.21086790238477443</v>
      </c>
      <c r="T89" s="2">
        <f t="shared" si="9"/>
        <v>0.10557409684682885</v>
      </c>
      <c r="U89" s="3">
        <f t="shared" si="10"/>
        <v>1.480465212844307E-2</v>
      </c>
      <c r="V89">
        <v>1.94545454545454</v>
      </c>
      <c r="W89" s="13">
        <f t="shared" si="27"/>
        <v>20.268529257315901</v>
      </c>
      <c r="X89" s="2">
        <f t="shared" si="11"/>
        <v>0.27493962896524871</v>
      </c>
      <c r="Y89" s="3">
        <f t="shared" si="12"/>
        <v>32.051921162485712</v>
      </c>
      <c r="Z89" s="13">
        <f t="shared" si="13"/>
        <v>7.1311433683738663</v>
      </c>
      <c r="AA89" s="2">
        <f t="shared" si="14"/>
        <v>0.14022996710947247</v>
      </c>
      <c r="AB89" s="3">
        <f t="shared" si="15"/>
        <v>0.1393214807565388</v>
      </c>
      <c r="AC89">
        <f t="shared" si="16"/>
        <v>1.07619701776189E-2</v>
      </c>
      <c r="AD89" s="2">
        <f t="shared" si="17"/>
        <v>38172683.205257088</v>
      </c>
      <c r="AE89">
        <f t="shared" si="18"/>
        <v>517806.85336471279</v>
      </c>
      <c r="AF89" s="3">
        <f t="shared" si="19"/>
        <v>60364904.4843162</v>
      </c>
      <c r="AG89">
        <f t="shared" si="20"/>
        <v>-37654876.351892382</v>
      </c>
      <c r="AI89" s="2">
        <f t="shared" si="21"/>
        <v>-1711.9528138651033</v>
      </c>
      <c r="AJ89" s="2">
        <f t="shared" si="22"/>
        <v>1008.9539349315359</v>
      </c>
      <c r="AK89">
        <f t="shared" si="23"/>
        <v>22192221.279059105</v>
      </c>
      <c r="AL89" s="18">
        <v>1.6689999999999999E-4</v>
      </c>
      <c r="AM89" s="18">
        <f t="shared" si="24"/>
        <v>4736.9108271543237</v>
      </c>
      <c r="AO89" s="2">
        <f t="shared" si="25"/>
        <v>264.05436913898762</v>
      </c>
      <c r="AP89" s="3">
        <f t="shared" si="26"/>
        <v>261.54272624572008</v>
      </c>
      <c r="AR89">
        <v>0.80303030303030298</v>
      </c>
      <c r="AS89">
        <v>30.471905311920189</v>
      </c>
      <c r="AT89">
        <v>13.458932919755892</v>
      </c>
      <c r="AU89">
        <v>13.366857846378155</v>
      </c>
      <c r="AV89">
        <v>31.9955005775162</v>
      </c>
      <c r="AW89">
        <v>11.355974651044034</v>
      </c>
      <c r="AX89">
        <v>14.37600663392991</v>
      </c>
      <c r="BG89">
        <v>0.77373737373737395</v>
      </c>
      <c r="BH89">
        <v>23.950371982848591</v>
      </c>
      <c r="BI89">
        <v>20.247243682342575</v>
      </c>
      <c r="BN89">
        <v>0.74444444444444402</v>
      </c>
      <c r="BO89">
        <v>36.175490319216671</v>
      </c>
      <c r="BP89">
        <v>10.978788747401754</v>
      </c>
      <c r="BQ89">
        <v>13.633690211640221</v>
      </c>
    </row>
    <row r="90" spans="1:69" ht="14.65" thickBot="1" x14ac:dyDescent="0.5">
      <c r="A90" s="2">
        <v>0.70099999999999996</v>
      </c>
      <c r="B90">
        <v>56000</v>
      </c>
      <c r="C90">
        <v>1.97474747474747</v>
      </c>
      <c r="D90" s="5">
        <f t="shared" si="1"/>
        <v>1</v>
      </c>
      <c r="F90" s="2">
        <v>389.97</v>
      </c>
      <c r="G90" s="3">
        <v>2.8454000000000001E-4</v>
      </c>
      <c r="H90">
        <v>1.3371596706809E-2</v>
      </c>
      <c r="I90">
        <v>0.130196604614505</v>
      </c>
      <c r="J90">
        <v>0</v>
      </c>
      <c r="K90" s="13">
        <v>968.07579999999996</v>
      </c>
      <c r="L90">
        <f t="shared" si="2"/>
        <v>1911.7052414141367</v>
      </c>
      <c r="M90">
        <f t="shared" si="3"/>
        <v>519.94235063825374</v>
      </c>
      <c r="N90" s="2">
        <f t="shared" si="4"/>
        <v>0.75183635697622853</v>
      </c>
      <c r="O90">
        <f t="shared" si="5"/>
        <v>1.3382127169950135</v>
      </c>
      <c r="P90" s="4">
        <f t="shared" si="6"/>
        <v>8.9977743824213224E-2</v>
      </c>
      <c r="Q90">
        <f t="shared" ref="Q90:Q125" si="31">P90*(1 + (1.4 - 1)/2 *C90^2)^(1.4/0.4)</f>
        <v>0.67692647789213345</v>
      </c>
      <c r="R90">
        <f t="shared" si="30"/>
        <v>-1.4941893074424745E-2</v>
      </c>
      <c r="S90" s="3">
        <f t="shared" si="28"/>
        <v>0.20541880306293811</v>
      </c>
      <c r="T90" s="2">
        <f t="shared" si="9"/>
        <v>0.10246520587253796</v>
      </c>
      <c r="U90" s="3">
        <f t="shared" si="10"/>
        <v>1.4738546275822731E-2</v>
      </c>
      <c r="V90">
        <v>1.97474747474747</v>
      </c>
      <c r="W90" s="13">
        <f t="shared" si="27"/>
        <v>20.790246395376613</v>
      </c>
      <c r="X90" s="2">
        <f t="shared" si="11"/>
        <v>-1.9125623135263674</v>
      </c>
      <c r="Y90" s="3">
        <f t="shared" si="12"/>
        <v>31.223658065566593</v>
      </c>
      <c r="Z90" s="13">
        <f t="shared" si="13"/>
        <v>6.9521921602690888</v>
      </c>
      <c r="AA90" s="2">
        <f t="shared" si="14"/>
        <v>0.14383952240487186</v>
      </c>
      <c r="AB90" s="3">
        <f t="shared" si="15"/>
        <v>0.14285965387428637</v>
      </c>
      <c r="AC90">
        <f t="shared" si="16"/>
        <v>1.0875236383197623E-2</v>
      </c>
      <c r="AD90" s="2">
        <f t="shared" si="17"/>
        <v>39744823.00433284</v>
      </c>
      <c r="AE90">
        <f t="shared" si="18"/>
        <v>-3656255.3992995042</v>
      </c>
      <c r="AF90" s="3">
        <f t="shared" si="19"/>
        <v>59690430.780066438</v>
      </c>
      <c r="AG90">
        <f t="shared" si="20"/>
        <v>-43401078.403632335</v>
      </c>
      <c r="AI90" s="2">
        <f t="shared" si="21"/>
        <v>-1973.1999012166266</v>
      </c>
      <c r="AJ90" s="2">
        <f t="shared" si="22"/>
        <v>906.81321156962974</v>
      </c>
      <c r="AK90">
        <f t="shared" si="23"/>
        <v>19945607.775733609</v>
      </c>
      <c r="AL90" s="18">
        <v>1.6689999999999999E-4</v>
      </c>
      <c r="AM90" s="18">
        <f t="shared" si="24"/>
        <v>4687.5756314260279</v>
      </c>
      <c r="AO90" s="2">
        <f t="shared" si="25"/>
        <v>274.92943339923517</v>
      </c>
      <c r="AP90" s="3">
        <f t="shared" si="26"/>
        <v>272.17753349718726</v>
      </c>
      <c r="AR90">
        <v>0.83232323232323202</v>
      </c>
      <c r="AS90">
        <v>28.850526523308467</v>
      </c>
      <c r="AT90">
        <v>13.702463040992429</v>
      </c>
      <c r="AU90">
        <v>13.608721932579357</v>
      </c>
      <c r="AV90">
        <v>30.293052849473892</v>
      </c>
      <c r="AW90">
        <v>11.56145319083736</v>
      </c>
      <c r="AX90">
        <v>14.781209272125091</v>
      </c>
      <c r="BG90">
        <v>0.80303030303030298</v>
      </c>
      <c r="BH90">
        <v>22.997634458780198</v>
      </c>
      <c r="BI90">
        <v>20.599448814355878</v>
      </c>
      <c r="BN90">
        <v>0.77373737373737395</v>
      </c>
      <c r="BO90">
        <v>33.943782230093866</v>
      </c>
      <c r="BP90">
        <v>11.161812535972134</v>
      </c>
      <c r="BQ90">
        <v>13.993808283743359</v>
      </c>
    </row>
    <row r="91" spans="1:69" ht="14.65" thickBot="1" x14ac:dyDescent="0.5">
      <c r="A91" s="2">
        <v>0.70099999999999996</v>
      </c>
      <c r="B91">
        <v>56000</v>
      </c>
      <c r="C91">
        <v>2.0040404040404001</v>
      </c>
      <c r="D91" s="5">
        <f t="shared" ref="D91:D125" si="32">D90</f>
        <v>1</v>
      </c>
      <c r="F91" s="2">
        <v>389.97</v>
      </c>
      <c r="G91" s="3">
        <v>2.8454000000000001E-4</v>
      </c>
      <c r="H91">
        <v>1.3366088088839E-2</v>
      </c>
      <c r="I91">
        <v>0.132318459797232</v>
      </c>
      <c r="J91">
        <v>0</v>
      </c>
      <c r="K91" s="13">
        <v>968.07579999999996</v>
      </c>
      <c r="L91">
        <f t="shared" ref="L91:L125" si="33">C91*K91</f>
        <v>1940.0630173737334</v>
      </c>
      <c r="M91">
        <f t="shared" ref="M91:M125" si="34">0.5*G91*L91^2</f>
        <v>535.48215863421399</v>
      </c>
      <c r="N91" s="2">
        <f t="shared" ref="N91:N125" si="35">F91/518.69</f>
        <v>0.75183635697622853</v>
      </c>
      <c r="O91">
        <f t="shared" ref="O91:O125" si="36">N91 * (1 + (1.4 - 1)/2 * C91^2)</f>
        <v>1.3557380754061457</v>
      </c>
      <c r="P91" s="4">
        <f t="shared" ref="P91:P125" si="37">G91*1716*F91/2116.2</f>
        <v>8.9977743824213224E-2</v>
      </c>
      <c r="Q91">
        <f t="shared" si="31"/>
        <v>0.70846556110661296</v>
      </c>
      <c r="R91">
        <f t="shared" si="30"/>
        <v>-3.3498091535945775E-2</v>
      </c>
      <c r="S91" s="3">
        <f t="shared" si="28"/>
        <v>0.19919798060980012</v>
      </c>
      <c r="T91" s="2">
        <f t="shared" ref="T91:T125" si="38">A91 *1/M91 * 76</f>
        <v>9.9491643448745878E-2</v>
      </c>
      <c r="U91" s="3">
        <f t="shared" ref="U91:U125" si="39">H91+I91*T91^2 + J91 * T91</f>
        <v>1.4675853890214361E-2</v>
      </c>
      <c r="V91">
        <v>2.0040404040404001</v>
      </c>
      <c r="W91" s="13">
        <f t="shared" si="27"/>
        <v>21.320538939489367</v>
      </c>
      <c r="X91" s="2">
        <f t="shared" ref="X91:X125" si="40">(32000 * 4)*R91/1000</f>
        <v>-4.2877557166010591</v>
      </c>
      <c r="Y91" s="3">
        <f t="shared" ref="Y91:Y125" si="41">(38000 * 4)*S91/1000</f>
        <v>30.27809305268962</v>
      </c>
      <c r="Z91" s="13">
        <f t="shared" ref="Z91:Z125" si="42">T91/U91</f>
        <v>6.779274595741609</v>
      </c>
      <c r="AA91" s="2">
        <f t="shared" ref="AA91:AA125" si="43">1/Z91</f>
        <v>0.14750840755560315</v>
      </c>
      <c r="AB91" s="3">
        <f t="shared" ref="AB91:AB125" si="44">ATAN(AA91)</f>
        <v>0.14645229621161787</v>
      </c>
      <c r="AC91">
        <f t="shared" ref="AC91:AC125" si="45">W91/L91</f>
        <v>1.098961154795426E-2</v>
      </c>
      <c r="AD91" s="2">
        <f t="shared" ref="AD91:AD125" si="46">W91*L91*1000</f>
        <v>41363189.106979914</v>
      </c>
      <c r="AE91">
        <f t="shared" ref="AE91:AE125" si="47">X91*L91*1000</f>
        <v>-8318516.2933105258</v>
      </c>
      <c r="AF91" s="3">
        <f t="shared" ref="AF91:AF125" si="48">Y91*L91*1000</f>
        <v>58741408.568123698</v>
      </c>
      <c r="AG91">
        <f t="shared" ref="AG91:AG125" si="49">L91*(X91*1000 - W91*1000)</f>
        <v>-49681705.400290444</v>
      </c>
      <c r="AI91" s="2">
        <f t="shared" ref="AI91:AI125" si="50">L91*(X91*1000 - W91*1000)/(A91*31377)</f>
        <v>-2258.7442476987421</v>
      </c>
      <c r="AJ91" s="2">
        <f t="shared" ref="AJ91:AJ125" si="51">L91*(Y91*1000-W91*1000)/(A91*31377)</f>
        <v>790.08868409085176</v>
      </c>
      <c r="AK91">
        <f t="shared" ref="AK91:AK125" si="52">L91*(Y91*1000-W91*1000)</f>
        <v>17378219.461143777</v>
      </c>
      <c r="AL91" s="18">
        <v>1.6689999999999999E-4</v>
      </c>
      <c r="AM91" s="18">
        <f t="shared" ref="AM91:AM125" si="53">(L91/AL91*Z91*LN(1.43))/6076.115</f>
        <v>4638.7893542392467</v>
      </c>
      <c r="AO91" s="2">
        <f t="shared" ref="AO91:AO125" si="54">AD91/(A91*206225)</f>
        <v>286.12426185739139</v>
      </c>
      <c r="AP91" s="3">
        <f t="shared" ref="AP91:AP125" si="55">L91*SIN(AB91)</f>
        <v>283.11210114245085</v>
      </c>
      <c r="AR91">
        <v>0.86161616161616195</v>
      </c>
      <c r="AS91">
        <v>27.433453497732618</v>
      </c>
      <c r="AT91">
        <v>13.959625565445471</v>
      </c>
      <c r="AU91">
        <v>13.864125160180993</v>
      </c>
      <c r="AV91">
        <v>28.80512617261925</v>
      </c>
      <c r="AW91">
        <v>11.778434070844616</v>
      </c>
      <c r="AX91">
        <v>15.210395886451797</v>
      </c>
      <c r="BG91">
        <v>0.83232323232323202</v>
      </c>
      <c r="BH91">
        <v>22.207512366023188</v>
      </c>
      <c r="BI91">
        <v>20.972181652618431</v>
      </c>
      <c r="BN91">
        <v>0.80303030303030298</v>
      </c>
      <c r="BO91">
        <v>31.9955005775162</v>
      </c>
      <c r="BP91">
        <v>11.355974651044034</v>
      </c>
      <c r="BQ91">
        <v>14.37600663392991</v>
      </c>
    </row>
    <row r="92" spans="1:69" ht="14.65" thickBot="1" x14ac:dyDescent="0.5">
      <c r="A92" s="2">
        <v>0.70099999999999996</v>
      </c>
      <c r="B92">
        <v>56000</v>
      </c>
      <c r="C92">
        <v>2.0333333333333301</v>
      </c>
      <c r="D92" s="5">
        <f t="shared" si="32"/>
        <v>1</v>
      </c>
      <c r="F92" s="2">
        <v>389.97</v>
      </c>
      <c r="G92" s="3">
        <v>2.8454000000000001E-4</v>
      </c>
      <c r="H92">
        <v>1.3360694608666001E-2</v>
      </c>
      <c r="I92">
        <v>0.134433205892279</v>
      </c>
      <c r="J92">
        <v>0</v>
      </c>
      <c r="K92" s="13">
        <v>968.07579999999996</v>
      </c>
      <c r="L92">
        <f t="shared" si="33"/>
        <v>1968.42079333333</v>
      </c>
      <c r="M92">
        <f t="shared" si="34"/>
        <v>551.25078330033568</v>
      </c>
      <c r="N92" s="2">
        <f t="shared" si="35"/>
        <v>0.75183635697622853</v>
      </c>
      <c r="O92">
        <f t="shared" si="36"/>
        <v>1.37352148682257</v>
      </c>
      <c r="P92" s="4">
        <f t="shared" si="37"/>
        <v>8.9977743824213224E-2</v>
      </c>
      <c r="Q92">
        <f t="shared" si="31"/>
        <v>0.74152802567545961</v>
      </c>
      <c r="R92">
        <f t="shared" si="30"/>
        <v>-5.3616549192699474E-2</v>
      </c>
      <c r="S92" s="3">
        <f t="shared" si="28"/>
        <v>0.1921501596800452</v>
      </c>
      <c r="T92" s="2">
        <f t="shared" si="38"/>
        <v>9.6645667659711706E-2</v>
      </c>
      <c r="U92" s="3">
        <f t="shared" si="39"/>
        <v>1.4616352518888135E-2</v>
      </c>
      <c r="V92">
        <v>2.0333333333333301</v>
      </c>
      <c r="W92" s="13">
        <f t="shared" ref="W92:W125" si="56">M92*U92*2713/1000</f>
        <v>21.859389177658883</v>
      </c>
      <c r="X92" s="2">
        <f t="shared" si="40"/>
        <v>-6.8629182966655327</v>
      </c>
      <c r="Y92" s="3">
        <f t="shared" si="41"/>
        <v>29.20682427136687</v>
      </c>
      <c r="Z92" s="13">
        <f t="shared" si="42"/>
        <v>6.6121604233901943</v>
      </c>
      <c r="AA92" s="2">
        <f t="shared" si="43"/>
        <v>0.15123650001935054</v>
      </c>
      <c r="AB92" s="3">
        <f t="shared" si="44"/>
        <v>0.15009901867489001</v>
      </c>
      <c r="AC92">
        <f t="shared" si="45"/>
        <v>1.1105038745624162E-2</v>
      </c>
      <c r="AD92" s="2">
        <f t="shared" si="46"/>
        <v>43028476.186869308</v>
      </c>
      <c r="AE92">
        <f t="shared" si="47"/>
        <v>-13509111.078104194</v>
      </c>
      <c r="AF92" s="3">
        <f t="shared" si="48"/>
        <v>57491320.202991135</v>
      </c>
      <c r="AG92">
        <f t="shared" si="49"/>
        <v>-56537587.264973499</v>
      </c>
      <c r="AI92" s="2">
        <f t="shared" si="50"/>
        <v>-2570.442157421955</v>
      </c>
      <c r="AJ92" s="2">
        <f t="shared" si="51"/>
        <v>657.54316329463938</v>
      </c>
      <c r="AK92">
        <f t="shared" si="52"/>
        <v>14462844.016121825</v>
      </c>
      <c r="AL92" s="18">
        <v>1.6689999999999999E-4</v>
      </c>
      <c r="AM92" s="18">
        <f t="shared" si="53"/>
        <v>4590.5731824630057</v>
      </c>
      <c r="AO92" s="2">
        <f t="shared" si="54"/>
        <v>297.64365982454666</v>
      </c>
      <c r="AP92" s="3">
        <f t="shared" si="55"/>
        <v>294.3498476202397</v>
      </c>
      <c r="AR92">
        <v>0.89090909090909098</v>
      </c>
      <c r="AS92">
        <v>26.195685080588596</v>
      </c>
      <c r="AT92">
        <v>14.230649057952554</v>
      </c>
      <c r="AU92">
        <v>14.133294530365866</v>
      </c>
      <c r="AV92">
        <v>27.505469334618027</v>
      </c>
      <c r="AW92">
        <v>12.007110142647466</v>
      </c>
      <c r="AX92">
        <v>15.664603678630419</v>
      </c>
      <c r="BG92">
        <v>0.86161616161616195</v>
      </c>
      <c r="BH92">
        <v>21.560521232157303</v>
      </c>
      <c r="BI92">
        <v>21.365779443098912</v>
      </c>
      <c r="BN92">
        <v>0.83232323232323202</v>
      </c>
      <c r="BO92">
        <v>30.293052849473892</v>
      </c>
      <c r="BP92">
        <v>11.56145319083736</v>
      </c>
      <c r="BQ92">
        <v>14.781209272125091</v>
      </c>
    </row>
    <row r="93" spans="1:69" ht="14.65" thickBot="1" x14ac:dyDescent="0.5">
      <c r="A93" s="2">
        <v>0.70099999999999996</v>
      </c>
      <c r="B93">
        <v>56000</v>
      </c>
      <c r="C93">
        <v>2.0626262626262601</v>
      </c>
      <c r="D93" s="5">
        <f t="shared" si="32"/>
        <v>1</v>
      </c>
      <c r="F93" s="2">
        <v>389.97</v>
      </c>
      <c r="G93" s="3">
        <v>2.8454000000000001E-4</v>
      </c>
      <c r="H93">
        <v>1.3355409334965001E-2</v>
      </c>
      <c r="I93">
        <v>0.136541169745167</v>
      </c>
      <c r="J93">
        <v>0</v>
      </c>
      <c r="K93" s="13">
        <v>968.07579999999996</v>
      </c>
      <c r="L93">
        <f t="shared" si="33"/>
        <v>1996.7785692929267</v>
      </c>
      <c r="M93">
        <f t="shared" si="34"/>
        <v>567.24822463661872</v>
      </c>
      <c r="N93" s="2">
        <f t="shared" si="35"/>
        <v>0.75183635697622853</v>
      </c>
      <c r="O93">
        <f t="shared" si="36"/>
        <v>1.3915629512442866</v>
      </c>
      <c r="P93" s="4">
        <f t="shared" si="37"/>
        <v>8.9977743824213224E-2</v>
      </c>
      <c r="Q93">
        <f t="shared" si="31"/>
        <v>0.77618182525699653</v>
      </c>
      <c r="R93">
        <f t="shared" si="30"/>
        <v>-7.5398262115370943E-2</v>
      </c>
      <c r="S93" s="3">
        <f t="shared" si="28"/>
        <v>0.18421719659603564</v>
      </c>
      <c r="T93" s="2">
        <f t="shared" si="38"/>
        <v>9.3920082401542648E-2</v>
      </c>
      <c r="U93" s="3">
        <f t="shared" si="39"/>
        <v>1.4559836518930717E-2</v>
      </c>
      <c r="V93">
        <v>2.0626262626262601</v>
      </c>
      <c r="W93" s="13">
        <f t="shared" si="56"/>
        <v>22.406779362592431</v>
      </c>
      <c r="X93" s="2">
        <f t="shared" si="40"/>
        <v>-9.6509775507674807</v>
      </c>
      <c r="Y93" s="3">
        <f t="shared" si="41"/>
        <v>28.001013882597416</v>
      </c>
      <c r="Z93" s="13">
        <f t="shared" si="42"/>
        <v>6.4506275382575646</v>
      </c>
      <c r="AA93" s="2">
        <f t="shared" si="43"/>
        <v>0.15502367700958886</v>
      </c>
      <c r="AB93" s="3">
        <f t="shared" si="44"/>
        <v>0.15379942155182705</v>
      </c>
      <c r="AC93">
        <f t="shared" si="45"/>
        <v>1.1221464266078751E-2</v>
      </c>
      <c r="AD93" s="2">
        <f t="shared" si="46"/>
        <v>44741376.838099591</v>
      </c>
      <c r="AE93">
        <f t="shared" si="47"/>
        <v>-19270865.146099646</v>
      </c>
      <c r="AF93" s="3">
        <f t="shared" si="48"/>
        <v>55911824.439244248</v>
      </c>
      <c r="AG93">
        <f t="shared" si="49"/>
        <v>-64012241.984199233</v>
      </c>
      <c r="AI93" s="2">
        <f t="shared" si="50"/>
        <v>-2910.2721454337329</v>
      </c>
      <c r="AJ93" s="2">
        <f t="shared" si="51"/>
        <v>507.85664582194892</v>
      </c>
      <c r="AK93">
        <f t="shared" si="52"/>
        <v>11170447.601144658</v>
      </c>
      <c r="AL93" s="18">
        <v>1.6689999999999999E-4</v>
      </c>
      <c r="AM93" s="18">
        <f t="shared" si="53"/>
        <v>4542.9448285084572</v>
      </c>
      <c r="AO93" s="2">
        <f t="shared" si="54"/>
        <v>309.49241822663049</v>
      </c>
      <c r="AP93" s="3">
        <f t="shared" si="55"/>
        <v>305.89410270872264</v>
      </c>
      <c r="AR93">
        <v>0.92020202020202002</v>
      </c>
      <c r="AS93">
        <v>21.089833333333299</v>
      </c>
      <c r="AT93">
        <v>14.515769199920086</v>
      </c>
      <c r="AU93">
        <v>14.416464112199865</v>
      </c>
      <c r="AV93">
        <v>25</v>
      </c>
      <c r="AW93">
        <v>12.247680262432574</v>
      </c>
      <c r="AX93">
        <v>16.144929321929208</v>
      </c>
      <c r="BG93">
        <v>0.89090909090909098</v>
      </c>
      <c r="BH93">
        <v>21.040326209305533</v>
      </c>
      <c r="BI93">
        <v>21.780592013655134</v>
      </c>
      <c r="BN93">
        <v>0.86161616161616195</v>
      </c>
      <c r="BO93">
        <v>28.80512617261925</v>
      </c>
      <c r="BP93">
        <v>11.778434070844616</v>
      </c>
      <c r="BQ93">
        <v>15.210395886451797</v>
      </c>
    </row>
    <row r="94" spans="1:69" ht="14.65" thickBot="1" x14ac:dyDescent="0.5">
      <c r="A94" s="2">
        <v>0.70099999999999996</v>
      </c>
      <c r="B94">
        <v>56000</v>
      </c>
      <c r="C94">
        <v>2.0919191919191902</v>
      </c>
      <c r="D94" s="5">
        <f t="shared" si="32"/>
        <v>1</v>
      </c>
      <c r="F94" s="2">
        <v>389.97</v>
      </c>
      <c r="G94" s="3">
        <v>2.8454000000000001E-4</v>
      </c>
      <c r="H94">
        <v>1.3350226005147001E-2</v>
      </c>
      <c r="I94">
        <v>0.13864265969608799</v>
      </c>
      <c r="J94">
        <v>0</v>
      </c>
      <c r="K94" s="13">
        <v>968.07579999999996</v>
      </c>
      <c r="L94">
        <f t="shared" si="33"/>
        <v>2025.1363452525234</v>
      </c>
      <c r="M94">
        <f t="shared" si="34"/>
        <v>583.47448264306308</v>
      </c>
      <c r="N94" s="2">
        <f t="shared" si="35"/>
        <v>0.75183635697622853</v>
      </c>
      <c r="O94">
        <f t="shared" si="36"/>
        <v>1.4098624686712951</v>
      </c>
      <c r="P94" s="4">
        <f t="shared" si="37"/>
        <v>8.9977743824213224E-2</v>
      </c>
      <c r="Q94">
        <f t="shared" si="31"/>
        <v>0.81249760760000278</v>
      </c>
      <c r="R94">
        <f t="shared" si="30"/>
        <v>-9.8949522171415616E-2</v>
      </c>
      <c r="S94" s="3">
        <f t="shared" si="28"/>
        <v>0.17533796556156658</v>
      </c>
      <c r="T94" s="2">
        <f t="shared" si="38"/>
        <v>9.130819184871064E-2</v>
      </c>
      <c r="U94" s="3">
        <f t="shared" si="39"/>
        <v>1.4506115632520846E-2</v>
      </c>
      <c r="V94">
        <v>2.0919191919191902</v>
      </c>
      <c r="W94" s="13">
        <f t="shared" si="56"/>
        <v>22.962691775462979</v>
      </c>
      <c r="X94" s="2">
        <f t="shared" si="40"/>
        <v>-12.665538837941201</v>
      </c>
      <c r="Y94" s="3">
        <f t="shared" si="41"/>
        <v>26.651370765358124</v>
      </c>
      <c r="Z94" s="13">
        <f t="shared" si="42"/>
        <v>6.2944618781343102</v>
      </c>
      <c r="AA94" s="2">
        <f t="shared" si="43"/>
        <v>0.15886981593673608</v>
      </c>
      <c r="AB94" s="3">
        <f t="shared" si="44"/>
        <v>0.15755309476249924</v>
      </c>
      <c r="AC94">
        <f t="shared" si="45"/>
        <v>1.1338837421635261E-2</v>
      </c>
      <c r="AD94" s="2">
        <f t="shared" si="46"/>
        <v>46502581.69932127</v>
      </c>
      <c r="AE94">
        <f t="shared" si="47"/>
        <v>-25649443.032922138</v>
      </c>
      <c r="AF94" s="3">
        <f t="shared" si="48"/>
        <v>53972659.587727301</v>
      </c>
      <c r="AG94">
        <f t="shared" si="49"/>
        <v>-72152024.732243404</v>
      </c>
      <c r="AI94" s="2">
        <f t="shared" si="50"/>
        <v>-3280.3417175534278</v>
      </c>
      <c r="AJ94" s="2">
        <f t="shared" si="51"/>
        <v>339.62190557572973</v>
      </c>
      <c r="AK94">
        <f t="shared" si="52"/>
        <v>7470077.8884060197</v>
      </c>
      <c r="AL94" s="18">
        <v>1.6689999999999999E-4</v>
      </c>
      <c r="AM94" s="18">
        <f t="shared" si="53"/>
        <v>4495.9188636574436</v>
      </c>
      <c r="AO94" s="2">
        <f t="shared" si="54"/>
        <v>321.67531446302507</v>
      </c>
      <c r="AP94" s="3">
        <f t="shared" si="55"/>
        <v>317.74810580187028</v>
      </c>
      <c r="AR94">
        <v>0.94949494949494895</v>
      </c>
      <c r="AS94">
        <v>19.3636666666666</v>
      </c>
      <c r="AT94">
        <v>14.815227619435786</v>
      </c>
      <c r="AU94">
        <v>14.713873880747851</v>
      </c>
      <c r="AV94">
        <v>20</v>
      </c>
      <c r="AW94">
        <v>12.500348303898946</v>
      </c>
      <c r="AX94">
        <v>16.652531038023636</v>
      </c>
      <c r="BG94">
        <v>0.92020202020202002</v>
      </c>
      <c r="BH94">
        <v>21.089833333333299</v>
      </c>
      <c r="BI94">
        <v>22.216980084345401</v>
      </c>
      <c r="BN94">
        <v>0.89090909090909098</v>
      </c>
      <c r="BO94">
        <v>27.505469334618027</v>
      </c>
      <c r="BP94">
        <v>12.007110142647466</v>
      </c>
      <c r="BQ94">
        <v>15.664603678630419</v>
      </c>
    </row>
    <row r="95" spans="1:69" ht="14.65" thickBot="1" x14ac:dyDescent="0.5">
      <c r="A95" s="2">
        <v>0.70099999999999996</v>
      </c>
      <c r="B95">
        <v>56000</v>
      </c>
      <c r="C95">
        <v>2.1212121212121202</v>
      </c>
      <c r="D95" s="5">
        <f t="shared" si="32"/>
        <v>1</v>
      </c>
      <c r="F95" s="2">
        <v>389.97</v>
      </c>
      <c r="G95" s="3">
        <v>2.8454000000000001E-4</v>
      </c>
      <c r="H95">
        <v>1.3345138938371E-2</v>
      </c>
      <c r="I95">
        <v>0.14073796662749499</v>
      </c>
      <c r="J95">
        <v>0</v>
      </c>
      <c r="K95" s="13">
        <v>968.07579999999996</v>
      </c>
      <c r="L95">
        <f t="shared" si="33"/>
        <v>2053.4941212121203</v>
      </c>
      <c r="M95">
        <f t="shared" si="34"/>
        <v>599.92955731966902</v>
      </c>
      <c r="N95" s="2">
        <f t="shared" si="35"/>
        <v>0.75183635697622853</v>
      </c>
      <c r="O95">
        <f t="shared" si="36"/>
        <v>1.4284200391035959</v>
      </c>
      <c r="P95" s="4">
        <f t="shared" si="37"/>
        <v>8.9977743824213224E-2</v>
      </c>
      <c r="Q95">
        <f t="shared" si="31"/>
        <v>0.85054880216720696</v>
      </c>
      <c r="R95">
        <f t="shared" si="30"/>
        <v>-0.1243821437013154</v>
      </c>
      <c r="S95" s="3">
        <f t="shared" si="28"/>
        <v>0.16544824172568628</v>
      </c>
      <c r="T95" s="2">
        <f t="shared" si="38"/>
        <v>8.8803759291379916E-2</v>
      </c>
      <c r="U95" s="3">
        <f t="shared" si="39"/>
        <v>1.4455013695647461E-2</v>
      </c>
      <c r="V95">
        <v>2.1212121212121202</v>
      </c>
      <c r="W95" s="13">
        <f t="shared" si="56"/>
        <v>23.527108781771979</v>
      </c>
      <c r="X95" s="2">
        <f t="shared" si="40"/>
        <v>-15.920914393768371</v>
      </c>
      <c r="Y95" s="3">
        <f t="shared" si="41"/>
        <v>25.148132742304316</v>
      </c>
      <c r="Z95" s="13">
        <f t="shared" si="42"/>
        <v>6.1434572917851717</v>
      </c>
      <c r="AA95" s="2">
        <f t="shared" si="43"/>
        <v>0.16277479479464552</v>
      </c>
      <c r="AB95" s="3">
        <f t="shared" si="44"/>
        <v>0.16135961806091464</v>
      </c>
      <c r="AC95">
        <f t="shared" si="45"/>
        <v>1.1457110365567827E-2</v>
      </c>
      <c r="AD95" s="2">
        <f t="shared" si="46"/>
        <v>48312779.572486803</v>
      </c>
      <c r="AE95">
        <f t="shared" si="47"/>
        <v>-32693504.111924775</v>
      </c>
      <c r="AF95" s="3">
        <f t="shared" si="48"/>
        <v>51641542.745783947</v>
      </c>
      <c r="AG95">
        <f t="shared" si="49"/>
        <v>-81006283.684411585</v>
      </c>
      <c r="AI95" s="2">
        <f t="shared" si="50"/>
        <v>-3682.8944543145144</v>
      </c>
      <c r="AJ95" s="2">
        <f t="shared" si="51"/>
        <v>151.33990689442746</v>
      </c>
      <c r="AK95">
        <f t="shared" si="52"/>
        <v>3328763.1732971417</v>
      </c>
      <c r="AL95" s="18">
        <v>1.6689999999999999E-4</v>
      </c>
      <c r="AM95" s="18">
        <f t="shared" si="53"/>
        <v>4449.5070248324664</v>
      </c>
      <c r="AO95" s="2">
        <f t="shared" si="54"/>
        <v>334.19711322800248</v>
      </c>
      <c r="AP95" s="3">
        <f t="shared" si="55"/>
        <v>329.9150041315163</v>
      </c>
      <c r="AR95">
        <v>0.97878787878787898</v>
      </c>
      <c r="AS95">
        <v>17.6374999999999</v>
      </c>
      <c r="AT95">
        <v>15.129270649040231</v>
      </c>
      <c r="AU95">
        <v>15.025768483343484</v>
      </c>
      <c r="AV95">
        <v>16</v>
      </c>
      <c r="AW95">
        <v>12.765322110127697</v>
      </c>
      <c r="AX95">
        <v>17.188630790146416</v>
      </c>
      <c r="BG95">
        <v>0.94949494949494895</v>
      </c>
      <c r="BH95">
        <v>19.3636666666666</v>
      </c>
      <c r="BI95">
        <v>22.675313476867689</v>
      </c>
      <c r="BN95">
        <v>0.92020202020202002</v>
      </c>
      <c r="BO95">
        <v>25</v>
      </c>
      <c r="BP95">
        <v>12.247680262432574</v>
      </c>
      <c r="BQ95">
        <v>16.144929321929208</v>
      </c>
    </row>
    <row r="96" spans="1:69" ht="14.65" thickBot="1" x14ac:dyDescent="0.5">
      <c r="A96" s="2">
        <v>0.70099999999999996</v>
      </c>
      <c r="B96">
        <v>56000</v>
      </c>
      <c r="C96">
        <v>2.1505050505050498</v>
      </c>
      <c r="D96" s="5">
        <f t="shared" si="32"/>
        <v>1</v>
      </c>
      <c r="F96" s="2">
        <v>389.97</v>
      </c>
      <c r="G96" s="3">
        <v>2.8454000000000001E-4</v>
      </c>
      <c r="H96">
        <v>1.3340142962592E-2</v>
      </c>
      <c r="I96">
        <v>0.142827364992683</v>
      </c>
      <c r="J96">
        <v>0</v>
      </c>
      <c r="K96" s="13">
        <v>968.07579999999996</v>
      </c>
      <c r="L96">
        <f t="shared" si="33"/>
        <v>2081.8518971717162</v>
      </c>
      <c r="M96">
        <f t="shared" si="34"/>
        <v>616.61344866643583</v>
      </c>
      <c r="N96" s="2">
        <f t="shared" si="35"/>
        <v>0.75183635697622853</v>
      </c>
      <c r="O96">
        <f t="shared" si="36"/>
        <v>1.4472356625411886</v>
      </c>
      <c r="P96" s="4">
        <f t="shared" si="37"/>
        <v>8.9977743824213224E-2</v>
      </c>
      <c r="Q96">
        <f t="shared" si="31"/>
        <v>0.89041170989022378</v>
      </c>
      <c r="R96">
        <f t="shared" si="30"/>
        <v>-0.15181369765525038</v>
      </c>
      <c r="S96" s="3">
        <f t="shared" si="28"/>
        <v>0.15448058104678572</v>
      </c>
      <c r="T96" s="2">
        <f t="shared" si="38"/>
        <v>8.6400969870542452E-2</v>
      </c>
      <c r="U96" s="3">
        <f t="shared" si="39"/>
        <v>1.4406367466258655E-2</v>
      </c>
      <c r="V96">
        <v>2.1505050505050498</v>
      </c>
      <c r="W96" s="13">
        <f t="shared" si="56"/>
        <v>24.100012879579005</v>
      </c>
      <c r="X96" s="2">
        <f t="shared" si="40"/>
        <v>-19.432153299872049</v>
      </c>
      <c r="Y96" s="3">
        <f t="shared" si="41"/>
        <v>23.48104831911143</v>
      </c>
      <c r="Z96" s="13">
        <f t="shared" si="42"/>
        <v>5.9974153840587032</v>
      </c>
      <c r="AA96" s="2">
        <f t="shared" si="43"/>
        <v>0.1667384924942881</v>
      </c>
      <c r="AB96" s="3">
        <f t="shared" si="44"/>
        <v>0.16521856118958367</v>
      </c>
      <c r="AC96">
        <f t="shared" si="45"/>
        <v>1.1576237921784874E-2</v>
      </c>
      <c r="AD96" s="2">
        <f t="shared" si="46"/>
        <v>50172657.53521435</v>
      </c>
      <c r="AE96">
        <f t="shared" si="47"/>
        <v>-40454865.21347025</v>
      </c>
      <c r="AF96" s="3">
        <f t="shared" si="48"/>
        <v>48884064.990722872</v>
      </c>
      <c r="AG96">
        <f t="shared" si="49"/>
        <v>-90627522.7486846</v>
      </c>
      <c r="AI96" s="2">
        <f t="shared" si="50"/>
        <v>-4120.3174094458827</v>
      </c>
      <c r="AJ96" s="2">
        <f t="shared" si="51"/>
        <v>-58.584965512890747</v>
      </c>
      <c r="AK96">
        <f t="shared" si="52"/>
        <v>-1288592.5444914789</v>
      </c>
      <c r="AL96" s="18">
        <v>1.6689999999999999E-4</v>
      </c>
      <c r="AM96" s="18">
        <f t="shared" si="53"/>
        <v>4403.7184964849821</v>
      </c>
      <c r="AO96" s="2">
        <f t="shared" si="54"/>
        <v>347.0625672879857</v>
      </c>
      <c r="AP96" s="3">
        <f t="shared" si="55"/>
        <v>342.39785093207223</v>
      </c>
      <c r="AR96">
        <v>1.0080808080807999</v>
      </c>
      <c r="AS96">
        <v>15.9113333333333</v>
      </c>
      <c r="AT96">
        <v>15.458148004572131</v>
      </c>
      <c r="AU96">
        <v>15.35239592747279</v>
      </c>
      <c r="AV96">
        <v>13</v>
      </c>
      <c r="AW96">
        <v>13.042812378857736</v>
      </c>
      <c r="AX96">
        <v>17.754516590713617</v>
      </c>
      <c r="BG96">
        <v>0.97878787878787898</v>
      </c>
      <c r="BH96">
        <v>17.6374999999999</v>
      </c>
      <c r="BI96">
        <v>23.155969213277984</v>
      </c>
      <c r="BN96">
        <v>0.94949494949494895</v>
      </c>
      <c r="BO96">
        <v>20</v>
      </c>
      <c r="BP96">
        <v>12.500348303898946</v>
      </c>
      <c r="BQ96">
        <v>16.652531038023636</v>
      </c>
    </row>
    <row r="97" spans="1:69" ht="14.65" thickBot="1" x14ac:dyDescent="0.5">
      <c r="A97" s="2">
        <v>0.70099999999999996</v>
      </c>
      <c r="B97">
        <v>56000</v>
      </c>
      <c r="C97">
        <v>2.1797979797979798</v>
      </c>
      <c r="D97" s="5">
        <f t="shared" si="32"/>
        <v>1</v>
      </c>
      <c r="F97" s="2">
        <v>389.97</v>
      </c>
      <c r="G97" s="3">
        <v>2.8454000000000001E-4</v>
      </c>
      <c r="H97">
        <v>1.3335233352956E-2</v>
      </c>
      <c r="I97">
        <v>0.144911113811175</v>
      </c>
      <c r="J97">
        <v>0</v>
      </c>
      <c r="K97" s="13">
        <v>968.07579999999996</v>
      </c>
      <c r="L97">
        <f t="shared" si="33"/>
        <v>2110.2096731313131</v>
      </c>
      <c r="M97">
        <f t="shared" si="34"/>
        <v>633.52615668336466</v>
      </c>
      <c r="N97" s="2">
        <f t="shared" si="35"/>
        <v>0.75183635697622853</v>
      </c>
      <c r="O97">
        <f t="shared" si="36"/>
        <v>1.4663093389840736</v>
      </c>
      <c r="P97" s="4">
        <f t="shared" si="37"/>
        <v>8.9977743824213224E-2</v>
      </c>
      <c r="Q97">
        <f t="shared" si="31"/>
        <v>0.93216559508504415</v>
      </c>
      <c r="R97">
        <f t="shared" si="30"/>
        <v>-0.1813677533619299</v>
      </c>
      <c r="S97" s="3">
        <f t="shared" si="28"/>
        <v>0.14236419690705354</v>
      </c>
      <c r="T97" s="2">
        <f t="shared" si="38"/>
        <v>8.4094396794775525E-2</v>
      </c>
      <c r="U97" s="3">
        <f t="shared" si="39"/>
        <v>1.4360025559579812E-2</v>
      </c>
      <c r="V97">
        <v>2.1797979797979798</v>
      </c>
      <c r="W97" s="13">
        <f t="shared" si="56"/>
        <v>24.68138674055006</v>
      </c>
      <c r="X97" s="2">
        <f t="shared" si="40"/>
        <v>-23.215072430327027</v>
      </c>
      <c r="Y97" s="3">
        <f t="shared" si="41"/>
        <v>21.639357929872137</v>
      </c>
      <c r="Z97" s="13">
        <f t="shared" si="42"/>
        <v>5.8561453422117875</v>
      </c>
      <c r="AA97" s="2">
        <f t="shared" si="43"/>
        <v>0.17076078914774909</v>
      </c>
      <c r="AB97" s="3">
        <f t="shared" si="44"/>
        <v>0.16912948399068242</v>
      </c>
      <c r="AC97">
        <f t="shared" si="45"/>
        <v>1.1696177424836493E-2</v>
      </c>
      <c r="AD97" s="2">
        <f t="shared" si="46"/>
        <v>52082901.046203665</v>
      </c>
      <c r="AE97">
        <f t="shared" si="47"/>
        <v>-48988670.404920153</v>
      </c>
      <c r="AF97" s="3">
        <f t="shared" si="48"/>
        <v>45663582.423966974</v>
      </c>
      <c r="AG97">
        <f t="shared" si="49"/>
        <v>-101071571.45112383</v>
      </c>
      <c r="AI97" s="2">
        <f t="shared" si="50"/>
        <v>-4595.1488335938593</v>
      </c>
      <c r="AJ97" s="2">
        <f t="shared" si="51"/>
        <v>-291.84986496131404</v>
      </c>
      <c r="AK97">
        <f t="shared" si="52"/>
        <v>-6419318.6222366961</v>
      </c>
      <c r="AL97" s="18">
        <v>1.6689999999999999E-4</v>
      </c>
      <c r="AM97" s="18">
        <f t="shared" si="53"/>
        <v>4358.5601692073824</v>
      </c>
      <c r="AO97" s="2">
        <f t="shared" si="54"/>
        <v>360.27641821074877</v>
      </c>
      <c r="AP97" s="3">
        <f t="shared" si="55"/>
        <v>355.19960354812798</v>
      </c>
      <c r="AR97">
        <v>1.03737373737373</v>
      </c>
      <c r="AS97">
        <v>14.1851666666666</v>
      </c>
      <c r="AT97">
        <v>15.802111378346234</v>
      </c>
      <c r="AU97">
        <v>15.694006183576398</v>
      </c>
      <c r="AV97">
        <v>12</v>
      </c>
      <c r="AW97">
        <v>13.333031475479634</v>
      </c>
      <c r="AX97">
        <v>18.351544922253101</v>
      </c>
      <c r="BG97">
        <v>1.0080808080807999</v>
      </c>
      <c r="BH97">
        <v>15.9113333333333</v>
      </c>
      <c r="BI97">
        <v>23.659329493908828</v>
      </c>
      <c r="BN97">
        <v>0.97878787878787898</v>
      </c>
      <c r="BO97">
        <v>16</v>
      </c>
      <c r="BP97">
        <v>12.765322110127697</v>
      </c>
      <c r="BQ97">
        <v>17.188630790146416</v>
      </c>
    </row>
    <row r="98" spans="1:69" ht="14.65" thickBot="1" x14ac:dyDescent="0.5">
      <c r="A98" s="2">
        <v>0.70099999999999996</v>
      </c>
      <c r="B98">
        <v>56000</v>
      </c>
      <c r="C98">
        <v>2.2090909090909001</v>
      </c>
      <c r="D98" s="5">
        <f t="shared" si="32"/>
        <v>1</v>
      </c>
      <c r="F98" s="2">
        <v>389.97</v>
      </c>
      <c r="G98" s="3">
        <v>2.8454000000000001E-4</v>
      </c>
      <c r="H98">
        <v>1.3330405779473E-2</v>
      </c>
      <c r="I98">
        <v>0.14698945762203799</v>
      </c>
      <c r="J98">
        <v>0</v>
      </c>
      <c r="K98" s="13">
        <v>968.07579999999996</v>
      </c>
      <c r="L98">
        <f t="shared" si="33"/>
        <v>2138.5674490909005</v>
      </c>
      <c r="M98">
        <f t="shared" si="34"/>
        <v>650.66768137044903</v>
      </c>
      <c r="N98" s="2">
        <f t="shared" si="35"/>
        <v>0.75183635697622853</v>
      </c>
      <c r="O98">
        <f t="shared" si="36"/>
        <v>1.4856410684322443</v>
      </c>
      <c r="P98" s="4">
        <f t="shared" si="37"/>
        <v>8.9977743824213224E-2</v>
      </c>
      <c r="Q98">
        <f t="shared" si="31"/>
        <v>0.97589277955722042</v>
      </c>
      <c r="R98">
        <f t="shared" si="30"/>
        <v>-0.21317412810336156</v>
      </c>
      <c r="S98" s="3">
        <f t="shared" si="28"/>
        <v>0.12902483342733481</v>
      </c>
      <c r="T98" s="2">
        <f t="shared" si="38"/>
        <v>8.1878970671770634E-2</v>
      </c>
      <c r="U98" s="3">
        <f t="shared" si="39"/>
        <v>1.4315847479848308E-2</v>
      </c>
      <c r="V98">
        <v>2.2090909090909001</v>
      </c>
      <c r="W98" s="13">
        <f t="shared" si="56"/>
        <v>25.271213244453243</v>
      </c>
      <c r="X98" s="2">
        <f t="shared" si="40"/>
        <v>-27.28628839723028</v>
      </c>
      <c r="Y98" s="3">
        <f t="shared" si="41"/>
        <v>19.611774680954891</v>
      </c>
      <c r="Z98" s="13">
        <f t="shared" si="42"/>
        <v>5.7194637472233136</v>
      </c>
      <c r="AA98" s="2">
        <f t="shared" si="43"/>
        <v>0.17484156630689027</v>
      </c>
      <c r="AB98" s="3">
        <f t="shared" si="44"/>
        <v>0.1730919364786471</v>
      </c>
      <c r="AC98">
        <f t="shared" si="45"/>
        <v>1.1816888569587071E-2</v>
      </c>
      <c r="AD98" s="2">
        <f t="shared" si="46"/>
        <v>54044194.043622546</v>
      </c>
      <c r="AE98">
        <f t="shared" si="47"/>
        <v>-58353568.172823399</v>
      </c>
      <c r="AF98" s="3">
        <f t="shared" si="48"/>
        <v>41941102.95159521</v>
      </c>
      <c r="AG98">
        <f t="shared" si="49"/>
        <v>-112397762.21644595</v>
      </c>
      <c r="AI98" s="2">
        <f t="shared" si="50"/>
        <v>-5110.0862342604714</v>
      </c>
      <c r="AJ98" s="2">
        <f t="shared" si="51"/>
        <v>-550.25863470723016</v>
      </c>
      <c r="AK98">
        <f t="shared" si="52"/>
        <v>-12103091.09202734</v>
      </c>
      <c r="AL98" s="18">
        <v>1.6689999999999999E-4</v>
      </c>
      <c r="AM98" s="18">
        <f t="shared" si="53"/>
        <v>4314.0368766002757</v>
      </c>
      <c r="AO98" s="2">
        <f t="shared" si="54"/>
        <v>373.84339704599171</v>
      </c>
      <c r="AP98" s="3">
        <f t="shared" si="55"/>
        <v>368.32312148860791</v>
      </c>
      <c r="AR98">
        <v>1.06666666666666</v>
      </c>
      <c r="AS98">
        <v>11.397740468226417</v>
      </c>
      <c r="AT98">
        <v>16.161412939757682</v>
      </c>
      <c r="AU98">
        <v>16.050849695911523</v>
      </c>
      <c r="AV98">
        <v>11.967627491637737</v>
      </c>
      <c r="AW98">
        <v>13.636192167920544</v>
      </c>
      <c r="AX98">
        <v>18.98114327096863</v>
      </c>
      <c r="BG98">
        <v>1.03737373737373</v>
      </c>
      <c r="BH98">
        <v>14.1851666666666</v>
      </c>
      <c r="BI98">
        <v>24.185779544170416</v>
      </c>
      <c r="BN98">
        <v>1.0080808080807999</v>
      </c>
      <c r="BO98">
        <v>13</v>
      </c>
      <c r="BP98">
        <v>13.042812378857736</v>
      </c>
      <c r="BQ98">
        <v>17.754516590713617</v>
      </c>
    </row>
    <row r="99" spans="1:69" ht="14.65" thickBot="1" x14ac:dyDescent="0.5">
      <c r="A99" s="2">
        <v>0.70099999999999996</v>
      </c>
      <c r="B99">
        <v>56000</v>
      </c>
      <c r="C99">
        <v>2.2383838383838301</v>
      </c>
      <c r="D99" s="5">
        <f t="shared" si="32"/>
        <v>1</v>
      </c>
      <c r="F99" s="2">
        <v>389.97</v>
      </c>
      <c r="G99" s="3">
        <v>2.8454000000000001E-4</v>
      </c>
      <c r="H99">
        <v>1.3325656262304E-2</v>
      </c>
      <c r="I99">
        <v>0.149062627389971</v>
      </c>
      <c r="J99">
        <v>0</v>
      </c>
      <c r="K99" s="13">
        <v>968.07579999999996</v>
      </c>
      <c r="L99">
        <f t="shared" si="33"/>
        <v>2166.9252250504969</v>
      </c>
      <c r="M99">
        <f t="shared" si="34"/>
        <v>668.03802272770008</v>
      </c>
      <c r="N99" s="2">
        <f t="shared" si="35"/>
        <v>0.75183635697622853</v>
      </c>
      <c r="O99">
        <f t="shared" si="36"/>
        <v>1.5052308508857131</v>
      </c>
      <c r="P99" s="4">
        <f t="shared" si="37"/>
        <v>8.9977743824213224E-2</v>
      </c>
      <c r="Q99">
        <f t="shared" si="31"/>
        <v>1.0216787389260729</v>
      </c>
      <c r="R99">
        <f t="shared" si="30"/>
        <v>-0.24736914467150101</v>
      </c>
      <c r="S99" s="3">
        <f t="shared" si="28"/>
        <v>0.11438463543230654</v>
      </c>
      <c r="T99" s="2">
        <f t="shared" si="38"/>
        <v>7.9749951630696175E-2</v>
      </c>
      <c r="U99" s="3">
        <f t="shared" si="39"/>
        <v>1.4273702738914922E-2</v>
      </c>
      <c r="V99">
        <v>2.2383838383838301</v>
      </c>
      <c r="W99" s="13">
        <f t="shared" si="56"/>
        <v>25.869475507721937</v>
      </c>
      <c r="X99" s="2">
        <f t="shared" si="40"/>
        <v>-31.663250517952129</v>
      </c>
      <c r="Y99" s="3">
        <f t="shared" si="41"/>
        <v>17.386464585710595</v>
      </c>
      <c r="Z99" s="13">
        <f t="shared" si="42"/>
        <v>5.5871943734172733</v>
      </c>
      <c r="AA99" s="2">
        <f t="shared" si="43"/>
        <v>0.17898070716096709</v>
      </c>
      <c r="AB99" s="3">
        <f t="shared" si="44"/>
        <v>0.17710545887897233</v>
      </c>
      <c r="AC99">
        <f t="shared" si="45"/>
        <v>1.1938333269953553E-2</v>
      </c>
      <c r="AD99" s="2">
        <f t="shared" si="46"/>
        <v>56057219.036508679</v>
      </c>
      <c r="AE99">
        <f t="shared" si="47"/>
        <v>-68611896.254443675</v>
      </c>
      <c r="AF99" s="3">
        <f t="shared" si="48"/>
        <v>37675168.68522343</v>
      </c>
      <c r="AG99">
        <f t="shared" si="49"/>
        <v>-124669115.29095237</v>
      </c>
      <c r="AI99" s="2">
        <f t="shared" si="50"/>
        <v>-5667.9947831960644</v>
      </c>
      <c r="AJ99" s="2">
        <f t="shared" si="51"/>
        <v>-835.72715866616534</v>
      </c>
      <c r="AK99">
        <f t="shared" si="52"/>
        <v>-18382050.351285256</v>
      </c>
      <c r="AL99" s="18">
        <v>1.6689999999999999E-4</v>
      </c>
      <c r="AM99" s="18">
        <f t="shared" si="53"/>
        <v>4270.1516118818508</v>
      </c>
      <c r="AO99" s="2">
        <f t="shared" si="54"/>
        <v>387.76822495760047</v>
      </c>
      <c r="AP99" s="3">
        <f t="shared" si="55"/>
        <v>381.77116443220496</v>
      </c>
      <c r="AR99">
        <v>1.09595959595959</v>
      </c>
      <c r="AS99">
        <v>11.02452105567026</v>
      </c>
      <c r="AT99">
        <v>16.53630373624253</v>
      </c>
      <c r="AU99">
        <v>16.423175794451833</v>
      </c>
      <c r="AV99">
        <v>11.575747108453774</v>
      </c>
      <c r="AW99">
        <v>13.952506277454635</v>
      </c>
      <c r="AX99">
        <v>19.644812772693271</v>
      </c>
      <c r="BG99">
        <v>1.06666666666666</v>
      </c>
      <c r="BH99">
        <v>13.841321011662</v>
      </c>
      <c r="BI99">
        <v>24.735705319664028</v>
      </c>
      <c r="BN99">
        <v>1.03737373737373</v>
      </c>
      <c r="BO99">
        <v>12</v>
      </c>
      <c r="BP99">
        <v>13.333031475479634</v>
      </c>
      <c r="BQ99">
        <v>18.351544922253101</v>
      </c>
    </row>
    <row r="100" spans="1:69" ht="14.65" thickBot="1" x14ac:dyDescent="0.5">
      <c r="A100" s="2">
        <v>0.70099999999999996</v>
      </c>
      <c r="B100">
        <v>56000</v>
      </c>
      <c r="C100">
        <v>2.2676767676767602</v>
      </c>
      <c r="D100" s="5">
        <f t="shared" si="32"/>
        <v>1</v>
      </c>
      <c r="F100" s="2">
        <v>389.97</v>
      </c>
      <c r="G100" s="3">
        <v>2.8454000000000001E-4</v>
      </c>
      <c r="H100">
        <v>1.3320981133361E-2</v>
      </c>
      <c r="I100">
        <v>0.15113084136164801</v>
      </c>
      <c r="J100">
        <v>0</v>
      </c>
      <c r="K100" s="13">
        <v>968.07579999999996</v>
      </c>
      <c r="L100">
        <f t="shared" si="33"/>
        <v>2195.2830010100938</v>
      </c>
      <c r="M100">
        <f t="shared" si="34"/>
        <v>685.63718075511292</v>
      </c>
      <c r="N100" s="2">
        <f t="shared" si="35"/>
        <v>0.75183635697622853</v>
      </c>
      <c r="O100">
        <f t="shared" si="36"/>
        <v>1.5250786863444745</v>
      </c>
      <c r="P100" s="4">
        <f t="shared" si="37"/>
        <v>8.9977743824213224E-2</v>
      </c>
      <c r="Q100">
        <f t="shared" si="31"/>
        <v>1.0696122011969413</v>
      </c>
      <c r="R100">
        <f t="shared" si="30"/>
        <v>-0.28409589708455124</v>
      </c>
      <c r="S100" s="3">
        <f t="shared" ref="S100:S125" si="57">Q100*(1-0.1 * C100^0.5 - 2.2*(O100-1)/O100)</f>
        <v>9.8362015015897697E-2</v>
      </c>
      <c r="T100" s="2">
        <f t="shared" si="38"/>
        <v>7.7702903948886681E-2</v>
      </c>
      <c r="U100" s="3">
        <f t="shared" si="39"/>
        <v>1.4233470053247203E-2</v>
      </c>
      <c r="V100">
        <v>2.2676767676767602</v>
      </c>
      <c r="W100" s="13">
        <f t="shared" si="56"/>
        <v>26.476156906746716</v>
      </c>
      <c r="X100" s="2">
        <f t="shared" si="40"/>
        <v>-36.364274826822559</v>
      </c>
      <c r="Y100" s="3">
        <f t="shared" si="41"/>
        <v>14.95102628241645</v>
      </c>
      <c r="Z100" s="13">
        <f t="shared" si="42"/>
        <v>5.4591679792911538</v>
      </c>
      <c r="AA100" s="2">
        <f t="shared" si="43"/>
        <v>0.18317809669777649</v>
      </c>
      <c r="AB100" s="3">
        <f t="shared" si="44"/>
        <v>0.18116958163826014</v>
      </c>
      <c r="AC100">
        <f t="shared" si="45"/>
        <v>1.2060475526191614E-2</v>
      </c>
      <c r="AD100" s="2">
        <f t="shared" si="46"/>
        <v>58122657.189457051</v>
      </c>
      <c r="AE100">
        <f t="shared" si="47"/>
        <v>-79829874.371382833</v>
      </c>
      <c r="AF100" s="3">
        <f t="shared" si="48"/>
        <v>32821733.845443975</v>
      </c>
      <c r="AG100">
        <f t="shared" si="49"/>
        <v>-137952531.56083989</v>
      </c>
      <c r="AI100" s="2">
        <f t="shared" si="50"/>
        <v>-6271.9160827499427</v>
      </c>
      <c r="AJ100" s="2">
        <f t="shared" si="51"/>
        <v>-1150.2889162983986</v>
      </c>
      <c r="AK100">
        <f t="shared" si="52"/>
        <v>-25300923.344013087</v>
      </c>
      <c r="AL100" s="18">
        <v>1.6689999999999999E-4</v>
      </c>
      <c r="AM100" s="18">
        <f t="shared" si="53"/>
        <v>4226.9057256627593</v>
      </c>
      <c r="AO100" s="2">
        <f t="shared" si="54"/>
        <v>402.05561380946057</v>
      </c>
      <c r="AP100" s="3">
        <f t="shared" si="55"/>
        <v>395.54639019050552</v>
      </c>
      <c r="AR100">
        <v>1.1252525252525201</v>
      </c>
      <c r="AS100">
        <v>11.182490938271236</v>
      </c>
      <c r="AT100">
        <v>16.927031987346613</v>
      </c>
      <c r="AU100">
        <v>16.811231000626893</v>
      </c>
      <c r="AV100">
        <v>11.741615485184798</v>
      </c>
      <c r="AW100">
        <v>14.282183239323706</v>
      </c>
      <c r="AX100">
        <v>20.344130971315884</v>
      </c>
      <c r="BG100">
        <v>1.09595959595959</v>
      </c>
      <c r="BH100">
        <v>13.953505830001198</v>
      </c>
      <c r="BI100">
        <v>25.309491058786563</v>
      </c>
      <c r="BN100">
        <v>1.06666666666666</v>
      </c>
      <c r="BO100">
        <v>11.967627491637737</v>
      </c>
      <c r="BP100">
        <v>13.636192167920544</v>
      </c>
      <c r="BQ100">
        <v>18.98114327096863</v>
      </c>
    </row>
    <row r="101" spans="1:69" ht="14.65" thickBot="1" x14ac:dyDescent="0.5">
      <c r="A101" s="2">
        <v>0.70099999999999996</v>
      </c>
      <c r="B101">
        <v>56000</v>
      </c>
      <c r="C101">
        <v>2.2969696969696898</v>
      </c>
      <c r="D101" s="5">
        <f t="shared" si="32"/>
        <v>1</v>
      </c>
      <c r="F101" s="2">
        <v>389.97</v>
      </c>
      <c r="G101" s="3">
        <v>2.8454000000000001E-4</v>
      </c>
      <c r="H101">
        <v>1.3316377003148E-2</v>
      </c>
      <c r="I101">
        <v>0.15319430587161001</v>
      </c>
      <c r="J101">
        <v>0</v>
      </c>
      <c r="K101" s="13">
        <v>968.07579999999996</v>
      </c>
      <c r="L101">
        <f t="shared" si="33"/>
        <v>2223.6407769696898</v>
      </c>
      <c r="M101">
        <f t="shared" si="34"/>
        <v>703.46515545268653</v>
      </c>
      <c r="N101" s="2">
        <f t="shared" si="35"/>
        <v>0.75183635697622853</v>
      </c>
      <c r="O101">
        <f t="shared" si="36"/>
        <v>1.5451845748085278</v>
      </c>
      <c r="P101" s="4">
        <f t="shared" si="37"/>
        <v>8.9977743824213224E-2</v>
      </c>
      <c r="Q101">
        <f t="shared" si="31"/>
        <v>1.1197852476110757</v>
      </c>
      <c r="R101">
        <f t="shared" si="30"/>
        <v>-0.32350452464312079</v>
      </c>
      <c r="S101" s="3">
        <f t="shared" si="57"/>
        <v>8.0871514656648102E-2</v>
      </c>
      <c r="T101" s="2">
        <f t="shared" si="38"/>
        <v>7.5733672928997298E-2</v>
      </c>
      <c r="U101" s="3">
        <f t="shared" si="39"/>
        <v>1.4195036611753078E-2</v>
      </c>
      <c r="V101">
        <v>2.2969696969696898</v>
      </c>
      <c r="W101" s="13">
        <f t="shared" si="56"/>
        <v>27.091241096485</v>
      </c>
      <c r="X101" s="2">
        <f t="shared" si="40"/>
        <v>-41.408579154319462</v>
      </c>
      <c r="Y101" s="3">
        <f t="shared" si="41"/>
        <v>12.292470227810512</v>
      </c>
      <c r="Z101" s="13">
        <f t="shared" si="42"/>
        <v>5.3352220920861884</v>
      </c>
      <c r="AA101" s="2">
        <f t="shared" si="43"/>
        <v>0.18743362183240964</v>
      </c>
      <c r="AB101" s="3">
        <f t="shared" si="44"/>
        <v>0.18528382541007016</v>
      </c>
      <c r="AC101">
        <f t="shared" si="45"/>
        <v>1.2183281300230572E-2</v>
      </c>
      <c r="AD101" s="2">
        <f t="shared" si="46"/>
        <v>60241188.400861092</v>
      </c>
      <c r="AE101">
        <f t="shared" si="47"/>
        <v>-92077805.123921826</v>
      </c>
      <c r="AF101" s="3">
        <f t="shared" si="48"/>
        <v>27334038.048245348</v>
      </c>
      <c r="AG101">
        <f t="shared" si="49"/>
        <v>-152318993.52478293</v>
      </c>
      <c r="AI101" s="2">
        <f t="shared" si="50"/>
        <v>-6925.0773029493075</v>
      </c>
      <c r="AJ101" s="2">
        <f t="shared" si="51"/>
        <v>-1496.100747111107</v>
      </c>
      <c r="AK101">
        <f t="shared" si="52"/>
        <v>-32907150.352615748</v>
      </c>
      <c r="AL101" s="18">
        <v>1.6689999999999999E-4</v>
      </c>
      <c r="AM101" s="18">
        <f t="shared" si="53"/>
        <v>4184.2991062604897</v>
      </c>
      <c r="AO101" s="2">
        <f t="shared" si="54"/>
        <v>416.7102667066797</v>
      </c>
      <c r="AP101" s="3">
        <f t="shared" si="55"/>
        <v>409.65135263537974</v>
      </c>
      <c r="AR101">
        <v>1.1545454545454501</v>
      </c>
      <c r="AS101">
        <v>11.48118701212602</v>
      </c>
      <c r="AT101">
        <v>17.333841264478476</v>
      </c>
      <c r="AU101">
        <v>17.215257219527768</v>
      </c>
      <c r="AV101">
        <v>12.055246362732321</v>
      </c>
      <c r="AW101">
        <v>14.625428566903715</v>
      </c>
      <c r="AX101">
        <v>21.080754690044124</v>
      </c>
      <c r="BG101">
        <v>1.1252525252525201</v>
      </c>
      <c r="BH101">
        <v>14.422395454330111</v>
      </c>
      <c r="BI101">
        <v>25.907516671732946</v>
      </c>
      <c r="BN101">
        <v>1.09595959595959</v>
      </c>
      <c r="BO101">
        <v>11.575747108453774</v>
      </c>
      <c r="BP101">
        <v>13.952506277454635</v>
      </c>
      <c r="BQ101">
        <v>19.644812772693271</v>
      </c>
    </row>
    <row r="102" spans="1:69" ht="14.65" thickBot="1" x14ac:dyDescent="0.5">
      <c r="A102" s="2">
        <v>0.70099999999999996</v>
      </c>
      <c r="B102">
        <v>56000</v>
      </c>
      <c r="C102">
        <v>2.3262626262626198</v>
      </c>
      <c r="D102" s="5">
        <f t="shared" si="32"/>
        <v>1</v>
      </c>
      <c r="F102" s="2">
        <v>389.97</v>
      </c>
      <c r="G102" s="3">
        <v>2.8454000000000001E-4</v>
      </c>
      <c r="H102">
        <v>1.3311840732014E-2</v>
      </c>
      <c r="I102">
        <v>0.15525321609827999</v>
      </c>
      <c r="J102">
        <v>0</v>
      </c>
      <c r="K102" s="13">
        <v>968.07579999999996</v>
      </c>
      <c r="L102">
        <f t="shared" si="33"/>
        <v>2251.9985529292867</v>
      </c>
      <c r="M102">
        <f t="shared" si="34"/>
        <v>721.52194682042227</v>
      </c>
      <c r="N102" s="2">
        <f t="shared" si="35"/>
        <v>0.75183635697622853</v>
      </c>
      <c r="O102">
        <f t="shared" si="36"/>
        <v>1.5655485162778737</v>
      </c>
      <c r="P102" s="4">
        <f t="shared" si="37"/>
        <v>8.9977743824213224E-2</v>
      </c>
      <c r="Q102">
        <f t="shared" si="31"/>
        <v>1.1722934158023057</v>
      </c>
      <c r="R102">
        <f t="shared" si="30"/>
        <v>-0.36575249450817532</v>
      </c>
      <c r="S102" s="3">
        <f t="shared" si="57"/>
        <v>6.182366683276299E-2</v>
      </c>
      <c r="T102" s="2">
        <f t="shared" si="38"/>
        <v>7.3838363801371279E-2</v>
      </c>
      <c r="U102" s="3">
        <f t="shared" si="39"/>
        <v>1.4158297407682279E-2</v>
      </c>
      <c r="V102">
        <v>2.3262626262626198</v>
      </c>
      <c r="W102" s="13">
        <f t="shared" si="56"/>
        <v>27.714712025004623</v>
      </c>
      <c r="X102" s="2">
        <f t="shared" si="40"/>
        <v>-46.816319297046441</v>
      </c>
      <c r="Y102" s="3">
        <f t="shared" si="41"/>
        <v>9.3971973585799748</v>
      </c>
      <c r="Z102" s="13">
        <f t="shared" si="42"/>
        <v>5.2152007882887563</v>
      </c>
      <c r="AA102" s="2">
        <f t="shared" si="43"/>
        <v>0.19174717150787327</v>
      </c>
      <c r="AB102" s="3">
        <f t="shared" si="44"/>
        <v>0.18944770102129299</v>
      </c>
      <c r="AC102">
        <f t="shared" si="45"/>
        <v>1.2306718398621845E-2</v>
      </c>
      <c r="AD102" s="2">
        <f t="shared" si="46"/>
        <v>62413491.375162311</v>
      </c>
      <c r="AE102">
        <f t="shared" si="47"/>
        <v>-105430283.31042403</v>
      </c>
      <c r="AF102" s="3">
        <f t="shared" si="48"/>
        <v>21162474.853113018</v>
      </c>
      <c r="AG102">
        <f t="shared" si="49"/>
        <v>-167843774.68558636</v>
      </c>
      <c r="AI102" s="2">
        <f t="shared" si="50"/>
        <v>-7630.9007013454011</v>
      </c>
      <c r="AJ102" s="2">
        <f t="shared" si="51"/>
        <v>-1875.4488303124938</v>
      </c>
      <c r="AK102">
        <f t="shared" si="52"/>
        <v>-41251016.522049293</v>
      </c>
      <c r="AL102" s="18">
        <v>1.6689999999999999E-4</v>
      </c>
      <c r="AM102" s="18">
        <f t="shared" si="53"/>
        <v>4142.3303438537832</v>
      </c>
      <c r="AO102" s="2">
        <f t="shared" si="54"/>
        <v>431.73687849536475</v>
      </c>
      <c r="AP102" s="3">
        <f t="shared" si="55"/>
        <v>424.08849959860936</v>
      </c>
      <c r="AR102">
        <v>1.1838383838383799</v>
      </c>
      <c r="AS102">
        <v>11.838569630439284</v>
      </c>
      <c r="AT102">
        <v>17.756968548737685</v>
      </c>
      <c r="AU102">
        <v>17.635489811022062</v>
      </c>
      <c r="AV102">
        <v>12.430498111961249</v>
      </c>
      <c r="AW102">
        <v>14.982442212997423</v>
      </c>
      <c r="AX102">
        <v>21.85642301609446</v>
      </c>
      <c r="BG102">
        <v>1.1545454545454501</v>
      </c>
      <c r="BH102">
        <v>14.992875450741552</v>
      </c>
      <c r="BI102">
        <v>26.530154954533373</v>
      </c>
      <c r="BN102">
        <v>1.1252525252525201</v>
      </c>
      <c r="BO102">
        <v>11.741615485184798</v>
      </c>
      <c r="BP102">
        <v>14.282183239323706</v>
      </c>
      <c r="BQ102">
        <v>20.344130971315884</v>
      </c>
    </row>
    <row r="103" spans="1:69" ht="14.65" thickBot="1" x14ac:dyDescent="0.5">
      <c r="A103" s="2">
        <v>0.70099999999999996</v>
      </c>
      <c r="B103">
        <v>56000</v>
      </c>
      <c r="C103">
        <v>2.3555555555555499</v>
      </c>
      <c r="D103" s="5">
        <f t="shared" si="32"/>
        <v>1</v>
      </c>
      <c r="F103" s="2">
        <v>389.97</v>
      </c>
      <c r="G103" s="3">
        <v>2.8454000000000001E-4</v>
      </c>
      <c r="H103">
        <v>1.3307369405102E-2</v>
      </c>
      <c r="I103">
        <v>0.15730775677147499</v>
      </c>
      <c r="J103">
        <v>0</v>
      </c>
      <c r="K103" s="13">
        <v>968.07579999999996</v>
      </c>
      <c r="L103">
        <f t="shared" si="33"/>
        <v>2280.3563288888831</v>
      </c>
      <c r="M103">
        <f t="shared" si="34"/>
        <v>739.80755485831889</v>
      </c>
      <c r="N103" s="2">
        <f t="shared" si="35"/>
        <v>0.75183635697622853</v>
      </c>
      <c r="O103">
        <f t="shared" si="36"/>
        <v>1.5861705107525108</v>
      </c>
      <c r="P103" s="4">
        <f t="shared" si="37"/>
        <v>8.9977743824213224E-2</v>
      </c>
      <c r="Q103">
        <f t="shared" si="31"/>
        <v>1.2272358052899359</v>
      </c>
      <c r="R103">
        <f t="shared" si="30"/>
        <v>-0.41100489298497034</v>
      </c>
      <c r="S103" s="3">
        <f t="shared" si="57"/>
        <v>4.1124850086466172E-2</v>
      </c>
      <c r="T103" s="2">
        <f t="shared" si="38"/>
        <v>7.2013322451408221E-2</v>
      </c>
      <c r="U103" s="3">
        <f t="shared" si="39"/>
        <v>1.4123154628517704E-2</v>
      </c>
      <c r="V103">
        <v>2.3555555555555499</v>
      </c>
      <c r="W103" s="13">
        <f t="shared" si="56"/>
        <v>28.34655394444993</v>
      </c>
      <c r="X103" s="2">
        <f t="shared" si="40"/>
        <v>-52.608626302076203</v>
      </c>
      <c r="Y103" s="3">
        <f t="shared" si="41"/>
        <v>6.2509772131428578</v>
      </c>
      <c r="Z103" s="13">
        <f t="shared" si="42"/>
        <v>5.0989544719702886</v>
      </c>
      <c r="AA103" s="2">
        <f t="shared" si="43"/>
        <v>0.19611863677095936</v>
      </c>
      <c r="AB103" s="3">
        <f t="shared" si="44"/>
        <v>0.19366070942289815</v>
      </c>
      <c r="AC103">
        <f t="shared" si="45"/>
        <v>1.2430756362652302E-2</v>
      </c>
      <c r="AD103" s="2">
        <f t="shared" si="46"/>
        <v>64640243.689416528</v>
      </c>
      <c r="AE103">
        <f t="shared" si="47"/>
        <v>-119966413.94208962</v>
      </c>
      <c r="AF103" s="3">
        <f t="shared" si="48"/>
        <v>14254455.449730508</v>
      </c>
      <c r="AG103">
        <f t="shared" si="49"/>
        <v>-184606657.63150617</v>
      </c>
      <c r="AI103" s="2">
        <f t="shared" si="50"/>
        <v>-8393.0135379293552</v>
      </c>
      <c r="AJ103" s="2">
        <f t="shared" si="51"/>
        <v>-2290.7548852276796</v>
      </c>
      <c r="AK103">
        <f t="shared" si="52"/>
        <v>-50385788.23968602</v>
      </c>
      <c r="AL103" s="18">
        <v>1.6689999999999999E-4</v>
      </c>
      <c r="AM103" s="18">
        <f t="shared" si="53"/>
        <v>4100.9968797262973</v>
      </c>
      <c r="AO103" s="2">
        <f t="shared" si="54"/>
        <v>447.1401362230846</v>
      </c>
      <c r="AP103" s="3">
        <f t="shared" si="55"/>
        <v>438.86017075090149</v>
      </c>
      <c r="AR103">
        <v>1.21313131313131</v>
      </c>
      <c r="AS103">
        <v>12.227973264622838</v>
      </c>
      <c r="AT103">
        <v>18.39412506859567</v>
      </c>
      <c r="AU103">
        <v>18.072155532034554</v>
      </c>
      <c r="AV103">
        <v>12.83937192785398</v>
      </c>
      <c r="AW103">
        <v>15.553368267618286</v>
      </c>
      <c r="AX103">
        <v>24.009672843771273</v>
      </c>
      <c r="BG103">
        <v>1.1838383838383799</v>
      </c>
      <c r="BH103">
        <v>15.611344088775182</v>
      </c>
      <c r="BI103">
        <v>27.177768616479842</v>
      </c>
      <c r="BN103">
        <v>1.1545454545454501</v>
      </c>
      <c r="BO103">
        <v>12.055246362732321</v>
      </c>
      <c r="BP103">
        <v>14.625428566903715</v>
      </c>
      <c r="BQ103">
        <v>21.080754690044124</v>
      </c>
    </row>
    <row r="104" spans="1:69" ht="14.65" thickBot="1" x14ac:dyDescent="0.5">
      <c r="A104" s="2">
        <v>0.70099999999999996</v>
      </c>
      <c r="B104">
        <v>56000</v>
      </c>
      <c r="C104">
        <v>2.3848484848484799</v>
      </c>
      <c r="D104" s="5">
        <f t="shared" si="32"/>
        <v>1</v>
      </c>
      <c r="F104" s="2">
        <v>389.97</v>
      </c>
      <c r="G104" s="3">
        <v>2.8454000000000001E-4</v>
      </c>
      <c r="H104">
        <v>1.3302960310441999E-2</v>
      </c>
      <c r="I104">
        <v>0.15935810283336899</v>
      </c>
      <c r="J104">
        <v>0</v>
      </c>
      <c r="K104" s="13">
        <v>968.07579999999996</v>
      </c>
      <c r="L104">
        <f t="shared" si="33"/>
        <v>2308.71410484848</v>
      </c>
      <c r="M104">
        <f t="shared" si="34"/>
        <v>758.32197956637731</v>
      </c>
      <c r="N104" s="2">
        <f t="shared" si="35"/>
        <v>0.75183635697622853</v>
      </c>
      <c r="O104">
        <f t="shared" si="36"/>
        <v>1.6070505582324408</v>
      </c>
      <c r="P104" s="4">
        <f t="shared" si="37"/>
        <v>8.9977743824213224E-2</v>
      </c>
      <c r="Q104">
        <f t="shared" si="31"/>
        <v>1.2847151853373013</v>
      </c>
      <c r="R104">
        <f t="shared" si="30"/>
        <v>-0.45943472569920912</v>
      </c>
      <c r="S104" s="3">
        <f t="shared" si="57"/>
        <v>1.8677141487174965E-2</v>
      </c>
      <c r="T104" s="2">
        <f t="shared" si="38"/>
        <v>7.0255117793716348E-2</v>
      </c>
      <c r="U104" s="3">
        <f t="shared" si="39"/>
        <v>1.4089517098426554E-2</v>
      </c>
      <c r="V104">
        <v>2.3848484848484799</v>
      </c>
      <c r="W104" s="13">
        <f t="shared" si="56"/>
        <v>28.986751418939264</v>
      </c>
      <c r="X104" s="2">
        <f t="shared" si="40"/>
        <v>-58.807644889498768</v>
      </c>
      <c r="Y104" s="3">
        <f t="shared" si="41"/>
        <v>2.8389255060505949</v>
      </c>
      <c r="Z104" s="13">
        <f t="shared" si="42"/>
        <v>4.9863396525890931</v>
      </c>
      <c r="AA104" s="2">
        <f t="shared" si="43"/>
        <v>0.20054791082688536</v>
      </c>
      <c r="AB104" s="3">
        <f t="shared" si="44"/>
        <v>0.19792234162903052</v>
      </c>
      <c r="AC104">
        <f t="shared" si="45"/>
        <v>1.2555366365226781E-2</v>
      </c>
      <c r="AD104" s="2">
        <f t="shared" si="46"/>
        <v>66922121.854641765</v>
      </c>
      <c r="AE104">
        <f t="shared" si="47"/>
        <v>-135770039.22930646</v>
      </c>
      <c r="AF104" s="3">
        <f t="shared" si="48"/>
        <v>6554267.3584331181</v>
      </c>
      <c r="AG104">
        <f t="shared" si="49"/>
        <v>-202692161.08394822</v>
      </c>
      <c r="AI104" s="2">
        <f t="shared" si="50"/>
        <v>-9215.2583976982078</v>
      </c>
      <c r="AJ104" s="2">
        <f t="shared" si="51"/>
        <v>-2744.5825981736289</v>
      </c>
      <c r="AK104">
        <f t="shared" si="52"/>
        <v>-60367854.49620866</v>
      </c>
      <c r="AL104" s="18">
        <v>1.6689999999999999E-4</v>
      </c>
      <c r="AM104" s="18">
        <f t="shared" si="53"/>
        <v>4060.295141770172</v>
      </c>
      <c r="AO104" s="2">
        <f t="shared" si="54"/>
        <v>462.92471956323607</v>
      </c>
      <c r="AP104" s="3">
        <f t="shared" si="55"/>
        <v>453.96859546861339</v>
      </c>
      <c r="AR104">
        <v>1.24242424242424</v>
      </c>
      <c r="AS104">
        <v>12.638679574025661</v>
      </c>
      <c r="AT104">
        <v>18.774375574669445</v>
      </c>
      <c r="AU104">
        <v>18.621843320813511</v>
      </c>
      <c r="AV104">
        <v>13.270613552726944</v>
      </c>
      <c r="AW104">
        <v>15.840879391127345</v>
      </c>
      <c r="AX104">
        <v>24.353302385902126</v>
      </c>
      <c r="BG104">
        <v>1.21313131313131</v>
      </c>
      <c r="BH104">
        <v>16.260379078942929</v>
      </c>
      <c r="BI104">
        <v>28.152962801323568</v>
      </c>
      <c r="BN104">
        <v>1.1838383838383799</v>
      </c>
      <c r="BO104">
        <v>12.430498111961249</v>
      </c>
      <c r="BP104">
        <v>14.982442212997423</v>
      </c>
      <c r="BQ104">
        <v>21.85642301609446</v>
      </c>
    </row>
    <row r="105" spans="1:69" ht="14.65" thickBot="1" x14ac:dyDescent="0.5">
      <c r="A105" s="2">
        <v>0.70099999999999996</v>
      </c>
      <c r="B105">
        <v>56000</v>
      </c>
      <c r="C105">
        <v>2.4141414141414099</v>
      </c>
      <c r="D105" s="5">
        <f t="shared" si="32"/>
        <v>1</v>
      </c>
      <c r="F105" s="2">
        <v>389.97</v>
      </c>
      <c r="G105" s="3">
        <v>2.8454000000000001E-4</v>
      </c>
      <c r="H105">
        <v>1.3298610919716E-2</v>
      </c>
      <c r="I105">
        <v>0.16140442005515401</v>
      </c>
      <c r="J105">
        <v>0</v>
      </c>
      <c r="K105" s="13">
        <v>968.07579999999996</v>
      </c>
      <c r="L105">
        <f t="shared" si="33"/>
        <v>2337.0718808080765</v>
      </c>
      <c r="M105">
        <f t="shared" si="34"/>
        <v>777.06522094459683</v>
      </c>
      <c r="N105" s="2">
        <f t="shared" si="35"/>
        <v>0.75183635697622853</v>
      </c>
      <c r="O105">
        <f t="shared" si="36"/>
        <v>1.6281886587176626</v>
      </c>
      <c r="P105" s="4">
        <f t="shared" si="37"/>
        <v>8.9977743824213224E-2</v>
      </c>
      <c r="Q105">
        <f t="shared" si="31"/>
        <v>1.3448381052053873</v>
      </c>
      <c r="R105">
        <f t="shared" si="30"/>
        <v>-0.51122322685369148</v>
      </c>
      <c r="S105" s="3">
        <f t="shared" si="57"/>
        <v>-5.6218345570248499E-3</v>
      </c>
      <c r="T105" s="2">
        <f t="shared" si="38"/>
        <v>6.8560525634177708E-2</v>
      </c>
      <c r="U105" s="3">
        <f t="shared" si="39"/>
        <v>1.4057299768370026E-2</v>
      </c>
      <c r="V105">
        <v>2.4141414141414099</v>
      </c>
      <c r="W105" s="13">
        <f t="shared" si="56"/>
        <v>29.635289329815897</v>
      </c>
      <c r="X105" s="2">
        <f t="shared" si="40"/>
        <v>-65.43657303727251</v>
      </c>
      <c r="Y105" s="3">
        <f t="shared" si="41"/>
        <v>-0.85451885266777716</v>
      </c>
      <c r="Z105" s="13">
        <f t="shared" si="42"/>
        <v>4.8772187236444946</v>
      </c>
      <c r="AA105" s="2">
        <f t="shared" si="43"/>
        <v>0.20503488907562289</v>
      </c>
      <c r="AB105" s="3">
        <f t="shared" si="44"/>
        <v>0.20223207864782833</v>
      </c>
      <c r="AC105">
        <f t="shared" si="45"/>
        <v>1.2680521114125539E-2</v>
      </c>
      <c r="AD105" s="2">
        <f t="shared" si="46"/>
        <v>69259801.372324362</v>
      </c>
      <c r="AE105">
        <f t="shared" si="47"/>
        <v>-152929974.82185355</v>
      </c>
      <c r="AF105" s="3">
        <f t="shared" si="48"/>
        <v>-1997071.9821902413</v>
      </c>
      <c r="AG105">
        <f t="shared" si="49"/>
        <v>-222189776.1941779</v>
      </c>
      <c r="AI105" s="2">
        <f t="shared" si="50"/>
        <v>-10101.703933720768</v>
      </c>
      <c r="AJ105" s="2">
        <f t="shared" si="51"/>
        <v>-3239.6442815662017</v>
      </c>
      <c r="AK105">
        <f t="shared" si="52"/>
        <v>-71256873.354514599</v>
      </c>
      <c r="AL105" s="18">
        <v>1.6689999999999999E-4</v>
      </c>
      <c r="AM105" s="18">
        <f t="shared" si="53"/>
        <v>4020.2206673578362</v>
      </c>
      <c r="AO105" s="2">
        <f t="shared" si="54"/>
        <v>479.09530120591711</v>
      </c>
      <c r="AP105" s="3">
        <f t="shared" si="55"/>
        <v>469.41589069604686</v>
      </c>
      <c r="AR105">
        <v>1.27171717171717</v>
      </c>
      <c r="AS105">
        <v>13.065816456065189</v>
      </c>
      <c r="AT105">
        <v>19.165178789194606</v>
      </c>
      <c r="AU105">
        <v>19.034066222259803</v>
      </c>
      <c r="AV105">
        <v>13.719107278868449</v>
      </c>
      <c r="AW105">
        <v>16.170619603382949</v>
      </c>
      <c r="AX105">
        <v>24.698295490294321</v>
      </c>
      <c r="BG105">
        <v>1.24242424242424</v>
      </c>
      <c r="BH105">
        <v>16.932977446110204</v>
      </c>
      <c r="BI105">
        <v>28.734951795785516</v>
      </c>
      <c r="BN105">
        <v>1.21313131313131</v>
      </c>
      <c r="BO105">
        <v>12.83937192785398</v>
      </c>
      <c r="BP105">
        <v>15.553368267618286</v>
      </c>
      <c r="BQ105">
        <v>24.009672843771273</v>
      </c>
    </row>
    <row r="106" spans="1:69" ht="14.65" thickBot="1" x14ac:dyDescent="0.5">
      <c r="A106" s="2">
        <v>0.70099999999999996</v>
      </c>
      <c r="B106">
        <v>56000</v>
      </c>
      <c r="C106">
        <v>2.44343434343434</v>
      </c>
      <c r="D106" s="5">
        <f t="shared" si="32"/>
        <v>1</v>
      </c>
      <c r="F106" s="2">
        <v>389.97</v>
      </c>
      <c r="G106" s="3">
        <v>2.8454000000000001E-4</v>
      </c>
      <c r="H106">
        <v>1.3294318871302E-2</v>
      </c>
      <c r="I106">
        <v>0.16344686561184901</v>
      </c>
      <c r="J106">
        <v>0</v>
      </c>
      <c r="K106" s="13">
        <v>968.07579999999996</v>
      </c>
      <c r="L106">
        <f t="shared" si="33"/>
        <v>2365.4296567676734</v>
      </c>
      <c r="M106">
        <f t="shared" si="34"/>
        <v>796.03727899297803</v>
      </c>
      <c r="N106" s="2">
        <f t="shared" si="35"/>
        <v>0.75183635697622853</v>
      </c>
      <c r="O106">
        <f t="shared" si="36"/>
        <v>1.6495848122081769</v>
      </c>
      <c r="P106" s="4">
        <f t="shared" si="37"/>
        <v>8.9977743824213224E-2</v>
      </c>
      <c r="Q106">
        <f t="shared" si="31"/>
        <v>1.4077150068310484</v>
      </c>
      <c r="R106">
        <f t="shared" si="30"/>
        <v>-0.56656017775586542</v>
      </c>
      <c r="S106" s="3">
        <f t="shared" si="57"/>
        <v>-3.1879061190248449E-2</v>
      </c>
      <c r="T106" s="2">
        <f t="shared" si="38"/>
        <v>6.6926513878089317E-2</v>
      </c>
      <c r="U106" s="3">
        <f t="shared" si="39"/>
        <v>1.4026423249457843E-2</v>
      </c>
      <c r="V106">
        <v>2.44343434343434</v>
      </c>
      <c r="W106" s="13">
        <f t="shared" si="56"/>
        <v>30.29215287862365</v>
      </c>
      <c r="X106" s="2">
        <f t="shared" si="40"/>
        <v>-72.519702752750774</v>
      </c>
      <c r="Y106" s="3">
        <f t="shared" si="41"/>
        <v>-4.8456173009177643</v>
      </c>
      <c r="Z106" s="13">
        <f t="shared" si="42"/>
        <v>4.7714597433580366</v>
      </c>
      <c r="AA106" s="2">
        <f t="shared" si="43"/>
        <v>0.2095794691324849</v>
      </c>
      <c r="AB106" s="3">
        <f t="shared" si="44"/>
        <v>0.2065893914069824</v>
      </c>
      <c r="AC106">
        <f t="shared" si="45"/>
        <v>1.2806194761258492E-2</v>
      </c>
      <c r="AD106" s="2">
        <f t="shared" si="46"/>
        <v>71653956.786436632</v>
      </c>
      <c r="AE106">
        <f t="shared" si="47"/>
        <v>-171540255.59133297</v>
      </c>
      <c r="AF106" s="3">
        <f t="shared" si="48"/>
        <v>-11461966.868937407</v>
      </c>
      <c r="AG106">
        <f t="shared" si="49"/>
        <v>-243194212.37776959</v>
      </c>
      <c r="AI106" s="2">
        <f t="shared" si="50"/>
        <v>-11056.656043830209</v>
      </c>
      <c r="AJ106" s="2">
        <f t="shared" si="51"/>
        <v>-3778.8077711125907</v>
      </c>
      <c r="AK106">
        <f t="shared" si="52"/>
        <v>-83115923.65537402</v>
      </c>
      <c r="AL106" s="18">
        <v>1.6689999999999999E-4</v>
      </c>
      <c r="AM106" s="18">
        <f t="shared" si="53"/>
        <v>3980.7682146218699</v>
      </c>
      <c r="AO106" s="2">
        <f t="shared" si="54"/>
        <v>495.65654721775218</v>
      </c>
      <c r="AP106" s="3">
        <f t="shared" si="55"/>
        <v>485.20405881113618</v>
      </c>
      <c r="AR106">
        <v>1.3010101010101001</v>
      </c>
      <c r="AS106">
        <v>13.506995773504809</v>
      </c>
      <c r="AT106">
        <v>19.566274431350251</v>
      </c>
      <c r="AU106">
        <v>19.432417894228273</v>
      </c>
      <c r="AV106">
        <v>14.18234556218005</v>
      </c>
      <c r="AW106">
        <v>16.509044051451777</v>
      </c>
      <c r="AX106">
        <v>25.0437148782325</v>
      </c>
      <c r="BG106">
        <v>1.27171717171717</v>
      </c>
      <c r="BH106">
        <v>17.625955935111897</v>
      </c>
      <c r="BI106">
        <v>29.333092143322283</v>
      </c>
      <c r="BN106">
        <v>1.24242424242424</v>
      </c>
      <c r="BO106">
        <v>13.270613552726944</v>
      </c>
      <c r="BP106">
        <v>15.840879391127345</v>
      </c>
      <c r="BQ106">
        <v>24.353302385902126</v>
      </c>
    </row>
    <row r="107" spans="1:69" ht="14.65" thickBot="1" x14ac:dyDescent="0.5">
      <c r="A107" s="2">
        <v>0.70099999999999996</v>
      </c>
      <c r="B107">
        <v>56000</v>
      </c>
      <c r="C107">
        <v>2.47272727272727</v>
      </c>
      <c r="D107" s="5">
        <f t="shared" si="32"/>
        <v>1</v>
      </c>
      <c r="F107" s="2">
        <v>389.97</v>
      </c>
      <c r="G107" s="3">
        <v>2.8454000000000001E-4</v>
      </c>
      <c r="H107">
        <v>1.3290081955284E-2</v>
      </c>
      <c r="I107">
        <v>0.165485588617759</v>
      </c>
      <c r="J107">
        <v>0</v>
      </c>
      <c r="K107" s="13">
        <v>968.07579999999996</v>
      </c>
      <c r="L107">
        <f t="shared" si="33"/>
        <v>2393.7874327272698</v>
      </c>
      <c r="M107">
        <f t="shared" si="34"/>
        <v>815.23815371152034</v>
      </c>
      <c r="N107" s="2">
        <f t="shared" si="35"/>
        <v>0.75183635697622853</v>
      </c>
      <c r="O107">
        <f t="shared" si="36"/>
        <v>1.6712390187039832</v>
      </c>
      <c r="P107" s="4">
        <f t="shared" si="37"/>
        <v>8.9977743824213224E-2</v>
      </c>
      <c r="Q107">
        <f t="shared" si="31"/>
        <v>1.4734603399592912</v>
      </c>
      <c r="R107">
        <f t="shared" si="30"/>
        <v>-0.62564423480871256</v>
      </c>
      <c r="S107" s="3">
        <f t="shared" si="57"/>
        <v>-6.0206287752715214E-2</v>
      </c>
      <c r="T107" s="2">
        <f t="shared" si="38"/>
        <v>6.5350228957576736E-2</v>
      </c>
      <c r="U107" s="3">
        <f t="shared" si="39"/>
        <v>1.3996813385585161E-2</v>
      </c>
      <c r="V107">
        <v>2.47272727272727</v>
      </c>
      <c r="W107" s="13">
        <f t="shared" si="56"/>
        <v>30.957327588164699</v>
      </c>
      <c r="X107" s="2">
        <f t="shared" si="40"/>
        <v>-80.082462055515208</v>
      </c>
      <c r="Y107" s="3">
        <f t="shared" si="41"/>
        <v>-9.1513557384127129</v>
      </c>
      <c r="Z107" s="13">
        <f t="shared" si="42"/>
        <v>4.6689362183594376</v>
      </c>
      <c r="AA107" s="2">
        <f t="shared" si="43"/>
        <v>0.21418155083544452</v>
      </c>
      <c r="AB107" s="3">
        <f t="shared" si="44"/>
        <v>0.21099374067694504</v>
      </c>
      <c r="AC107">
        <f t="shared" si="45"/>
        <v>1.2932362817568415E-2</v>
      </c>
      <c r="AD107" s="2">
        <f t="shared" si="46"/>
        <v>74105261.731369853</v>
      </c>
      <c r="AE107">
        <f t="shared" si="47"/>
        <v>-191700391.25035074</v>
      </c>
      <c r="AF107" s="3">
        <f t="shared" si="48"/>
        <v>-21906400.359028935</v>
      </c>
      <c r="AG107">
        <f t="shared" si="49"/>
        <v>-265805652.9817206</v>
      </c>
      <c r="AI107" s="2">
        <f t="shared" si="50"/>
        <v>-12084.669494351929</v>
      </c>
      <c r="AJ107" s="2">
        <f t="shared" si="51"/>
        <v>-4365.1035670248111</v>
      </c>
      <c r="AK107">
        <f t="shared" si="52"/>
        <v>-96011662.090398788</v>
      </c>
      <c r="AL107" s="18">
        <v>1.6689999999999999E-4</v>
      </c>
      <c r="AM107" s="18">
        <f t="shared" si="53"/>
        <v>3941.9318631102287</v>
      </c>
      <c r="AO107" s="2">
        <f t="shared" si="54"/>
        <v>512.61311737346193</v>
      </c>
      <c r="AP107" s="3">
        <f t="shared" si="55"/>
        <v>501.33498550278119</v>
      </c>
      <c r="AR107">
        <v>1.3303030303030301</v>
      </c>
      <c r="AS107">
        <v>14.669485846173217</v>
      </c>
      <c r="AT107">
        <v>19.977357957825131</v>
      </c>
      <c r="AU107">
        <v>19.84068912153425</v>
      </c>
      <c r="AV107">
        <v>15.402960138481879</v>
      </c>
      <c r="AW107">
        <v>16.855895776914952</v>
      </c>
      <c r="AX107">
        <v>25.388547201713937</v>
      </c>
      <c r="BG107">
        <v>1.3010101010101001</v>
      </c>
      <c r="BH107">
        <v>18.337754223671393</v>
      </c>
      <c r="BI107">
        <v>29.946985473462775</v>
      </c>
      <c r="BN107">
        <v>1.27171717171717</v>
      </c>
      <c r="BO107">
        <v>13.719107278868449</v>
      </c>
      <c r="BP107">
        <v>16.170619603382949</v>
      </c>
      <c r="BQ107">
        <v>24.698295490294321</v>
      </c>
    </row>
    <row r="108" spans="1:69" ht="14.65" thickBot="1" x14ac:dyDescent="0.5">
      <c r="A108" s="2">
        <v>0.70099999999999996</v>
      </c>
      <c r="B108">
        <v>56000</v>
      </c>
      <c r="C108">
        <v>2.5020202020202</v>
      </c>
      <c r="D108" s="5">
        <f t="shared" si="32"/>
        <v>1</v>
      </c>
      <c r="F108" s="2">
        <v>389.97</v>
      </c>
      <c r="G108" s="3">
        <v>2.8454000000000001E-4</v>
      </c>
      <c r="H108">
        <v>1.3285898100145001E-2</v>
      </c>
      <c r="I108">
        <v>0.16752073062509301</v>
      </c>
      <c r="J108">
        <v>0</v>
      </c>
      <c r="K108" s="13">
        <v>968.07579999999996</v>
      </c>
      <c r="L108">
        <f t="shared" si="33"/>
        <v>2422.1452086868667</v>
      </c>
      <c r="M108">
        <f t="shared" si="34"/>
        <v>834.66784510022433</v>
      </c>
      <c r="N108" s="2">
        <f t="shared" si="35"/>
        <v>0.75183635697622853</v>
      </c>
      <c r="O108">
        <f t="shared" si="36"/>
        <v>1.6931512782050817</v>
      </c>
      <c r="P108" s="4">
        <f t="shared" si="37"/>
        <v>8.9977743824213224E-2</v>
      </c>
      <c r="Q108">
        <f t="shared" si="31"/>
        <v>1.5421926797591994</v>
      </c>
      <c r="R108">
        <f t="shared" si="30"/>
        <v>-0.68868326715953143</v>
      </c>
      <c r="S108" s="3">
        <f t="shared" si="57"/>
        <v>-9.0720192228475258E-2</v>
      </c>
      <c r="T108" s="2">
        <f t="shared" si="38"/>
        <v>6.3828983364757244E-2</v>
      </c>
      <c r="U108" s="3">
        <f t="shared" si="39"/>
        <v>1.3968400861756512E-2</v>
      </c>
      <c r="V108">
        <v>2.5020202020202</v>
      </c>
      <c r="W108" s="13">
        <f t="shared" si="56"/>
        <v>31.630799301909864</v>
      </c>
      <c r="X108" s="2">
        <f t="shared" si="40"/>
        <v>-88.151458196420023</v>
      </c>
      <c r="Y108" s="3">
        <f t="shared" si="41"/>
        <v>-13.789469218728239</v>
      </c>
      <c r="Z108" s="13">
        <f t="shared" si="42"/>
        <v>4.5695268911928126</v>
      </c>
      <c r="AA108" s="2">
        <f t="shared" si="43"/>
        <v>0.21884103624105464</v>
      </c>
      <c r="AB108" s="3">
        <f t="shared" si="44"/>
        <v>0.21544457699409716</v>
      </c>
      <c r="AC108">
        <f t="shared" si="45"/>
        <v>1.3059002073231636E-2</v>
      </c>
      <c r="AD108" s="2">
        <f t="shared" si="46"/>
        <v>76614388.976056874</v>
      </c>
      <c r="AE108">
        <f t="shared" si="47"/>
        <v>-213515632.10921937</v>
      </c>
      <c r="AF108" s="3">
        <f t="shared" si="48"/>
        <v>-33400096.798477635</v>
      </c>
      <c r="AG108">
        <f t="shared" si="49"/>
        <v>-290130021.08527625</v>
      </c>
      <c r="AI108" s="2">
        <f t="shared" si="50"/>
        <v>-13190.560004553536</v>
      </c>
      <c r="AJ108" s="2">
        <f t="shared" si="51"/>
        <v>-5001.732225265202</v>
      </c>
      <c r="AK108">
        <f t="shared" si="52"/>
        <v>-110014485.77453451</v>
      </c>
      <c r="AL108" s="18">
        <v>1.6689999999999999E-4</v>
      </c>
      <c r="AM108" s="18">
        <f t="shared" si="53"/>
        <v>3903.7051047239438</v>
      </c>
      <c r="AO108" s="2">
        <f t="shared" si="54"/>
        <v>529.96966546107524</v>
      </c>
      <c r="AP108" s="3">
        <f t="shared" si="55"/>
        <v>517.81043766731727</v>
      </c>
      <c r="AR108">
        <v>1.3595959595959599</v>
      </c>
      <c r="AS108">
        <v>15.148493859068211</v>
      </c>
      <c r="AT108">
        <v>20.398076501364752</v>
      </c>
      <c r="AU108">
        <v>20.258529450954022</v>
      </c>
      <c r="AV108">
        <v>15.905918552021621</v>
      </c>
      <c r="AW108">
        <v>17.210877048026507</v>
      </c>
      <c r="AX108">
        <v>25.731698491666066</v>
      </c>
      <c r="BG108">
        <v>1.3303030303030301</v>
      </c>
      <c r="BH108">
        <v>20.151949523732092</v>
      </c>
      <c r="BI108">
        <v>30.576165670179122</v>
      </c>
      <c r="BN108">
        <v>1.3010101010101001</v>
      </c>
      <c r="BO108">
        <v>14.18234556218005</v>
      </c>
      <c r="BP108">
        <v>16.509044051451777</v>
      </c>
      <c r="BQ108">
        <v>25.0437148782325</v>
      </c>
    </row>
    <row r="109" spans="1:69" ht="14.65" thickBot="1" x14ac:dyDescent="0.5">
      <c r="A109" s="2">
        <v>0.70099999999999996</v>
      </c>
      <c r="B109">
        <v>56000</v>
      </c>
      <c r="C109">
        <v>2.5313131313131301</v>
      </c>
      <c r="D109" s="5">
        <f t="shared" si="32"/>
        <v>1</v>
      </c>
      <c r="F109" s="2">
        <v>389.97</v>
      </c>
      <c r="G109" s="3">
        <v>2.8454000000000001E-4</v>
      </c>
      <c r="H109">
        <v>1.3281765360935E-2</v>
      </c>
      <c r="I109">
        <v>0.169552426088176</v>
      </c>
      <c r="J109">
        <v>0</v>
      </c>
      <c r="K109" s="13">
        <v>968.07579999999996</v>
      </c>
      <c r="L109">
        <f t="shared" si="33"/>
        <v>2450.5029846464631</v>
      </c>
      <c r="M109">
        <f t="shared" si="34"/>
        <v>854.32635315908942</v>
      </c>
      <c r="N109" s="2">
        <f t="shared" si="35"/>
        <v>0.75183635697622853</v>
      </c>
      <c r="O109">
        <f t="shared" si="36"/>
        <v>1.7153215907114721</v>
      </c>
      <c r="P109" s="4">
        <f t="shared" si="37"/>
        <v>8.9977743824213224E-2</v>
      </c>
      <c r="Q109">
        <f t="shared" si="31"/>
        <v>1.6140348469530412</v>
      </c>
      <c r="R109">
        <f t="shared" si="30"/>
        <v>-0.75589470420321936</v>
      </c>
      <c r="S109" s="3">
        <f t="shared" si="57"/>
        <v>-0.12354254754781979</v>
      </c>
      <c r="T109" s="2">
        <f t="shared" si="38"/>
        <v>6.2360244188884507E-2</v>
      </c>
      <c r="U109" s="3">
        <f t="shared" si="39"/>
        <v>1.394112084488249E-2</v>
      </c>
      <c r="V109">
        <v>2.5313131313131301</v>
      </c>
      <c r="W109" s="13">
        <f t="shared" si="56"/>
        <v>32.312554182062939</v>
      </c>
      <c r="X109" s="2">
        <f t="shared" si="40"/>
        <v>-96.754522138012078</v>
      </c>
      <c r="Y109" s="3">
        <f t="shared" si="41"/>
        <v>-18.778467227268607</v>
      </c>
      <c r="Z109" s="13">
        <f t="shared" si="42"/>
        <v>4.4731155322978013</v>
      </c>
      <c r="AA109" s="2">
        <f t="shared" si="43"/>
        <v>0.22355782961105602</v>
      </c>
      <c r="AB109" s="3">
        <f t="shared" si="44"/>
        <v>0.21994134058637158</v>
      </c>
      <c r="AC109">
        <f t="shared" si="45"/>
        <v>1.3186090522850235E-2</v>
      </c>
      <c r="AD109" s="2">
        <f t="shared" si="46"/>
        <v>79182010.464695796</v>
      </c>
      <c r="AE109">
        <f t="shared" si="47"/>
        <v>-237097245.27724087</v>
      </c>
      <c r="AF109" s="3">
        <f t="shared" si="48"/>
        <v>-46016689.987507507</v>
      </c>
      <c r="AG109">
        <f t="shared" si="49"/>
        <v>-316279255.74193668</v>
      </c>
      <c r="AI109" s="2">
        <f t="shared" si="50"/>
        <v>-14379.41680579593</v>
      </c>
      <c r="AJ109" s="2">
        <f t="shared" si="51"/>
        <v>-5692.0720049219335</v>
      </c>
      <c r="AK109">
        <f t="shared" si="52"/>
        <v>-125198700.45220329</v>
      </c>
      <c r="AL109" s="18">
        <v>1.6689999999999999E-4</v>
      </c>
      <c r="AM109" s="18">
        <f t="shared" si="53"/>
        <v>3866.080925770535</v>
      </c>
      <c r="AO109" s="2">
        <f t="shared" si="54"/>
        <v>547.73083956363052</v>
      </c>
      <c r="AP109" s="3">
        <f t="shared" si="55"/>
        <v>534.63206133258223</v>
      </c>
      <c r="AR109">
        <v>1.38888888888888</v>
      </c>
      <c r="AS109">
        <v>15.643808458317741</v>
      </c>
      <c r="AT109">
        <v>20.828024584855754</v>
      </c>
      <c r="AU109">
        <v>20.685536179318873</v>
      </c>
      <c r="AV109">
        <v>16.425998881233628</v>
      </c>
      <c r="AW109">
        <v>17.573645743472042</v>
      </c>
      <c r="AX109">
        <v>26.071989431444099</v>
      </c>
      <c r="BG109">
        <v>1.3595959595959599</v>
      </c>
      <c r="BH109">
        <v>20.919011582039669</v>
      </c>
      <c r="BI109">
        <v>31.220092655666473</v>
      </c>
      <c r="BN109">
        <v>1.3303030303030301</v>
      </c>
      <c r="BO109">
        <v>15.402960138481879</v>
      </c>
      <c r="BP109">
        <v>16.855895776914952</v>
      </c>
      <c r="BQ109">
        <v>25.388547201713937</v>
      </c>
    </row>
    <row r="110" spans="1:69" ht="14.65" thickBot="1" x14ac:dyDescent="0.5">
      <c r="A110" s="2">
        <v>0.70099999999999996</v>
      </c>
      <c r="B110">
        <v>56000</v>
      </c>
      <c r="C110">
        <v>2.5606060606060601</v>
      </c>
      <c r="D110" s="5">
        <f t="shared" si="32"/>
        <v>1</v>
      </c>
      <c r="F110" s="2">
        <v>389.97</v>
      </c>
      <c r="G110" s="3">
        <v>2.8454000000000001E-4</v>
      </c>
      <c r="H110">
        <v>1.3277681908695001E-2</v>
      </c>
      <c r="I110">
        <v>0.17158080279563101</v>
      </c>
      <c r="J110">
        <v>0</v>
      </c>
      <c r="K110" s="13">
        <v>968.07579999999996</v>
      </c>
      <c r="L110">
        <f t="shared" si="33"/>
        <v>2478.86076060606</v>
      </c>
      <c r="M110">
        <f t="shared" si="34"/>
        <v>874.21367788811608</v>
      </c>
      <c r="N110" s="2">
        <f t="shared" si="35"/>
        <v>0.75183635697622853</v>
      </c>
      <c r="O110">
        <f t="shared" si="36"/>
        <v>1.7377499562231546</v>
      </c>
      <c r="P110" s="4">
        <f t="shared" si="37"/>
        <v>8.9977743824213224E-2</v>
      </c>
      <c r="Q110">
        <f t="shared" si="31"/>
        <v>1.6891140304881724</v>
      </c>
      <c r="R110">
        <f t="shared" si="30"/>
        <v>-0.82750589313877965</v>
      </c>
      <c r="S110" s="3">
        <f t="shared" si="57"/>
        <v>-0.15880039179531666</v>
      </c>
      <c r="T110" s="2">
        <f t="shared" si="38"/>
        <v>6.0941622566123226E-2</v>
      </c>
      <c r="U110" s="3">
        <f t="shared" si="39"/>
        <v>1.3914912654101708E-2</v>
      </c>
      <c r="V110">
        <v>2.5606060606060601</v>
      </c>
      <c r="W110" s="13">
        <f t="shared" si="56"/>
        <v>33.002578706447025</v>
      </c>
      <c r="X110" s="2">
        <f t="shared" si="40"/>
        <v>-105.92075432176379</v>
      </c>
      <c r="Y110" s="3">
        <f t="shared" si="41"/>
        <v>-24.137659552888135</v>
      </c>
      <c r="Z110" s="13">
        <f t="shared" si="42"/>
        <v>4.3795907370039737</v>
      </c>
      <c r="AA110" s="2">
        <f t="shared" si="43"/>
        <v>0.22833183739083535</v>
      </c>
      <c r="AB110" s="3">
        <f t="shared" si="44"/>
        <v>0.22448346130292321</v>
      </c>
      <c r="AC110">
        <f t="shared" si="45"/>
        <v>1.3313607295303743E-2</v>
      </c>
      <c r="AD110" s="2">
        <f t="shared" si="46"/>
        <v>81808797.354224637</v>
      </c>
      <c r="AE110">
        <f t="shared" si="47"/>
        <v>-262562801.62201503</v>
      </c>
      <c r="AF110" s="3">
        <f t="shared" si="48"/>
        <v>-59833897.118522413</v>
      </c>
      <c r="AG110">
        <f t="shared" si="49"/>
        <v>-344371598.97623968</v>
      </c>
      <c r="AI110" s="2">
        <f t="shared" si="50"/>
        <v>-15656.615689642813</v>
      </c>
      <c r="AJ110" s="2">
        <f t="shared" si="51"/>
        <v>-6439.6867778817732</v>
      </c>
      <c r="AK110">
        <f t="shared" si="52"/>
        <v>-141642694.47274706</v>
      </c>
      <c r="AL110" s="18">
        <v>1.6689999999999999E-4</v>
      </c>
      <c r="AM110" s="18">
        <f t="shared" si="53"/>
        <v>3829.0518809171363</v>
      </c>
      <c r="AO110" s="2">
        <f t="shared" si="54"/>
        <v>565.90128231840072</v>
      </c>
      <c r="AP110" s="3">
        <f t="shared" si="55"/>
        <v>551.801379616399</v>
      </c>
      <c r="AR110">
        <v>1.41818181818181</v>
      </c>
      <c r="AS110">
        <v>16.152834155533689</v>
      </c>
      <c r="AT110">
        <v>21.266739600816674</v>
      </c>
      <c r="AU110">
        <v>21.12124986393151</v>
      </c>
      <c r="AV110">
        <v>16.960475863310375</v>
      </c>
      <c r="AW110">
        <v>17.943811538189067</v>
      </c>
      <c r="AX110">
        <v>26.408150451014009</v>
      </c>
      <c r="BG110">
        <v>1.38888888888888</v>
      </c>
      <c r="BH110">
        <v>21.710290424123951</v>
      </c>
      <c r="BI110">
        <v>31.878145830573292</v>
      </c>
      <c r="BN110">
        <v>1.3595959595959599</v>
      </c>
      <c r="BO110">
        <v>15.905918552021621</v>
      </c>
      <c r="BP110">
        <v>17.210877048026507</v>
      </c>
      <c r="BQ110">
        <v>25.731698491666066</v>
      </c>
    </row>
    <row r="111" spans="1:69" ht="14.65" thickBot="1" x14ac:dyDescent="0.5">
      <c r="A111" s="2">
        <v>0.70099999999999996</v>
      </c>
      <c r="B111">
        <v>56000</v>
      </c>
      <c r="C111">
        <v>2.5898989898989901</v>
      </c>
      <c r="D111" s="5">
        <f t="shared" si="32"/>
        <v>1</v>
      </c>
      <c r="F111" s="2">
        <v>389.97</v>
      </c>
      <c r="G111" s="3">
        <v>2.8454000000000001E-4</v>
      </c>
      <c r="H111">
        <v>1.3273646021002001E-2</v>
      </c>
      <c r="I111">
        <v>0.17360598227276899</v>
      </c>
      <c r="J111">
        <v>0</v>
      </c>
      <c r="K111" s="13">
        <v>968.07579999999996</v>
      </c>
      <c r="L111">
        <f t="shared" si="33"/>
        <v>2507.2185365656569</v>
      </c>
      <c r="M111">
        <f t="shared" si="34"/>
        <v>894.3298192873043</v>
      </c>
      <c r="N111" s="2">
        <f t="shared" si="35"/>
        <v>0.75183635697622853</v>
      </c>
      <c r="O111">
        <f t="shared" si="36"/>
        <v>1.7604363747401295</v>
      </c>
      <c r="P111" s="4">
        <f t="shared" si="37"/>
        <v>8.9977743824213224E-2</v>
      </c>
      <c r="Q111">
        <f t="shared" si="31"/>
        <v>1.7675619127813267</v>
      </c>
      <c r="R111">
        <f t="shared" ref="R111:R125" si="58">Q111*(1-0.3*C111^1-1.7*((O111-1)/O111))</f>
        <v>-0.90375446677982507</v>
      </c>
      <c r="S111" s="3">
        <f t="shared" si="57"/>
        <v>-0.19662620237448905</v>
      </c>
      <c r="T111" s="2">
        <f t="shared" si="38"/>
        <v>5.9570863959848612E-2</v>
      </c>
      <c r="U111" s="3">
        <f t="shared" si="39"/>
        <v>1.3889719458015986E-2</v>
      </c>
      <c r="V111">
        <v>2.5898989898989901</v>
      </c>
      <c r="W111" s="13">
        <f t="shared" si="56"/>
        <v>33.700859664471636</v>
      </c>
      <c r="X111" s="2">
        <f t="shared" si="40"/>
        <v>-115.68057174781761</v>
      </c>
      <c r="Y111" s="3">
        <f t="shared" si="41"/>
        <v>-29.887182760922336</v>
      </c>
      <c r="Z111" s="13">
        <f t="shared" si="42"/>
        <v>4.2888457279437189</v>
      </c>
      <c r="AA111" s="2">
        <f t="shared" si="43"/>
        <v>0.23316296818152249</v>
      </c>
      <c r="AB111" s="3">
        <f t="shared" si="44"/>
        <v>0.22907035855001631</v>
      </c>
      <c r="AC111">
        <f t="shared" si="45"/>
        <v>1.344153258799469E-2</v>
      </c>
      <c r="AD111" s="2">
        <f t="shared" si="46"/>
        <v>84495420.048961148</v>
      </c>
      <c r="AE111">
        <f t="shared" si="47"/>
        <v>-290036473.80664176</v>
      </c>
      <c r="AF111" s="3">
        <f t="shared" si="48"/>
        <v>-74933698.623910025</v>
      </c>
      <c r="AG111">
        <f t="shared" si="49"/>
        <v>-374531893.85560286</v>
      </c>
      <c r="AI111" s="2">
        <f t="shared" si="50"/>
        <v>-17027.832559490063</v>
      </c>
      <c r="AJ111" s="2">
        <f t="shared" si="51"/>
        <v>-7248.3342070605058</v>
      </c>
      <c r="AK111">
        <f t="shared" si="52"/>
        <v>-159429118.67287117</v>
      </c>
      <c r="AL111" s="18">
        <v>1.6689999999999999E-4</v>
      </c>
      <c r="AM111" s="18">
        <f t="shared" si="53"/>
        <v>3792.6101597526426</v>
      </c>
      <c r="AO111" s="2">
        <f t="shared" si="54"/>
        <v>584.48563115651007</v>
      </c>
      <c r="AP111" s="3">
        <f t="shared" si="55"/>
        <v>569.31979072805018</v>
      </c>
      <c r="AR111">
        <v>1.44747474747474</v>
      </c>
      <c r="AS111">
        <v>16.67472205362634</v>
      </c>
      <c r="AT111">
        <v>21.71369704593651</v>
      </c>
      <c r="AU111">
        <v>21.565149589706021</v>
      </c>
      <c r="AV111">
        <v>17.508458156307658</v>
      </c>
      <c r="AW111">
        <v>18.32093188250893</v>
      </c>
      <c r="AX111">
        <v>26.738816637239317</v>
      </c>
      <c r="BG111">
        <v>1.41818181818181</v>
      </c>
      <c r="BH111">
        <v>22.521963858680959</v>
      </c>
      <c r="BI111">
        <v>32.549617155176655</v>
      </c>
      <c r="BN111">
        <v>1.38888888888888</v>
      </c>
      <c r="BO111">
        <v>16.425998881233628</v>
      </c>
      <c r="BP111">
        <v>17.573645743472042</v>
      </c>
      <c r="BQ111">
        <v>26.071989431444099</v>
      </c>
    </row>
    <row r="112" spans="1:69" ht="14.65" thickBot="1" x14ac:dyDescent="0.5">
      <c r="A112" s="2">
        <v>0.70099999999999996</v>
      </c>
      <c r="B112">
        <v>56000</v>
      </c>
      <c r="C112">
        <v>2.61919191919191</v>
      </c>
      <c r="D112" s="5">
        <f t="shared" si="32"/>
        <v>1</v>
      </c>
      <c r="F112" s="2">
        <v>389.97</v>
      </c>
      <c r="G112" s="3">
        <v>2.8454000000000001E-4</v>
      </c>
      <c r="H112">
        <v>1.3269656073477999E-2</v>
      </c>
      <c r="I112">
        <v>0.17562808015631201</v>
      </c>
      <c r="J112">
        <v>0</v>
      </c>
      <c r="K112" s="13">
        <v>968.07579999999996</v>
      </c>
      <c r="L112">
        <f t="shared" si="33"/>
        <v>2535.5763125252433</v>
      </c>
      <c r="M112">
        <f t="shared" si="34"/>
        <v>914.67477735664625</v>
      </c>
      <c r="N112" s="2">
        <f t="shared" si="35"/>
        <v>0.75183635697622853</v>
      </c>
      <c r="O112">
        <f t="shared" si="36"/>
        <v>1.7833808462623881</v>
      </c>
      <c r="P112" s="4">
        <f t="shared" si="37"/>
        <v>8.9977743824213224E-2</v>
      </c>
      <c r="Q112">
        <f t="shared" si="31"/>
        <v>1.8495147975649282</v>
      </c>
      <c r="R112">
        <f t="shared" si="58"/>
        <v>-0.9848887218219442</v>
      </c>
      <c r="S112" s="3">
        <f t="shared" si="57"/>
        <v>-0.23715807418022219</v>
      </c>
      <c r="T112" s="2">
        <f t="shared" si="38"/>
        <v>5.8245839197582722E-2</v>
      </c>
      <c r="U112" s="3">
        <f t="shared" si="39"/>
        <v>1.3865487996433135E-2</v>
      </c>
      <c r="V112">
        <v>2.61919191919191</v>
      </c>
      <c r="W112" s="13">
        <f t="shared" si="56"/>
        <v>34.407384152311593</v>
      </c>
      <c r="X112" s="2">
        <f t="shared" si="40"/>
        <v>-126.06575639320886</v>
      </c>
      <c r="Y112" s="3">
        <f t="shared" si="41"/>
        <v>-36.048027275393778</v>
      </c>
      <c r="Z112" s="13">
        <f t="shared" si="42"/>
        <v>4.2007781632039443</v>
      </c>
      <c r="AA112" s="2">
        <f t="shared" si="43"/>
        <v>0.23805113270663583</v>
      </c>
      <c r="AB112" s="3">
        <f t="shared" si="44"/>
        <v>0.23370144123443512</v>
      </c>
      <c r="AC112">
        <f t="shared" si="45"/>
        <v>1.356984760519569E-2</v>
      </c>
      <c r="AD112" s="2">
        <f t="shared" si="46"/>
        <v>87242548.232557714</v>
      </c>
      <c r="AE112">
        <f t="shared" si="47"/>
        <v>-319649345.73119813</v>
      </c>
      <c r="AF112" s="3">
        <f t="shared" si="48"/>
        <v>-91402524.072752342</v>
      </c>
      <c r="AG112">
        <f t="shared" si="49"/>
        <v>-406891893.96375585</v>
      </c>
      <c r="AI112" s="2">
        <f t="shared" si="50"/>
        <v>-18499.057500560502</v>
      </c>
      <c r="AJ112" s="2">
        <f t="shared" si="51"/>
        <v>-8121.9741995206559</v>
      </c>
      <c r="AK112">
        <f t="shared" si="52"/>
        <v>-178645072.30531007</v>
      </c>
      <c r="AL112" s="18">
        <v>1.6689999999999999E-4</v>
      </c>
      <c r="AM112" s="18">
        <f t="shared" si="53"/>
        <v>3756.7476466247131</v>
      </c>
      <c r="AO112" s="2">
        <f t="shared" si="54"/>
        <v>603.48851852397775</v>
      </c>
      <c r="AP112" s="3">
        <f t="shared" si="55"/>
        <v>587.1885660196441</v>
      </c>
      <c r="AR112">
        <v>1.4767676767676701</v>
      </c>
      <c r="AS112">
        <v>17.209083947096538</v>
      </c>
      <c r="AT112">
        <v>22.168305500080347</v>
      </c>
      <c r="AU112">
        <v>22.016647982523082</v>
      </c>
      <c r="AV112">
        <v>18.069538144451364</v>
      </c>
      <c r="AW112">
        <v>18.704507765692792</v>
      </c>
      <c r="AX112">
        <v>27.062522455705313</v>
      </c>
      <c r="BG112">
        <v>1.44747474747474</v>
      </c>
      <c r="BH112">
        <v>23.352803975438071</v>
      </c>
      <c r="BI112">
        <v>33.233703855648024</v>
      </c>
      <c r="BN112">
        <v>1.41818181818181</v>
      </c>
      <c r="BO112">
        <v>16.960475863310375</v>
      </c>
      <c r="BP112">
        <v>17.943811538189067</v>
      </c>
      <c r="BQ112">
        <v>26.408150451014009</v>
      </c>
    </row>
    <row r="113" spans="1:69" ht="14.65" thickBot="1" x14ac:dyDescent="0.5">
      <c r="A113" s="2">
        <v>0.70099999999999996</v>
      </c>
      <c r="B113">
        <v>56000</v>
      </c>
      <c r="C113">
        <v>2.64848484848484</v>
      </c>
      <c r="D113" s="5">
        <f t="shared" si="32"/>
        <v>1</v>
      </c>
      <c r="F113" s="2">
        <v>389.97</v>
      </c>
      <c r="G113" s="3">
        <v>2.8454000000000001E-4</v>
      </c>
      <c r="H113">
        <v>1.3265710532147999E-2</v>
      </c>
      <c r="I113">
        <v>0.177647206543462</v>
      </c>
      <c r="J113">
        <v>0</v>
      </c>
      <c r="K113" s="13">
        <v>968.07579999999996</v>
      </c>
      <c r="L113">
        <f t="shared" si="33"/>
        <v>2563.9340884848402</v>
      </c>
      <c r="M113">
        <f t="shared" si="34"/>
        <v>935.24855209615714</v>
      </c>
      <c r="N113" s="2">
        <f t="shared" si="35"/>
        <v>0.75183635697622853</v>
      </c>
      <c r="O113">
        <f t="shared" si="36"/>
        <v>1.8065833707899472</v>
      </c>
      <c r="P113" s="4">
        <f t="shared" si="37"/>
        <v>8.9977743824213224E-2</v>
      </c>
      <c r="Q113">
        <f t="shared" si="31"/>
        <v>1.9351137403652474</v>
      </c>
      <c r="R113">
        <f t="shared" si="58"/>
        <v>-1.0711680077720636</v>
      </c>
      <c r="S113" s="3">
        <f t="shared" si="57"/>
        <v>-0.28053990183016503</v>
      </c>
      <c r="T113" s="2">
        <f t="shared" si="38"/>
        <v>5.6964536197990766E-2</v>
      </c>
      <c r="U113" s="3">
        <f t="shared" si="39"/>
        <v>1.3842168324460188E-2</v>
      </c>
      <c r="V113">
        <v>2.64848484848484</v>
      </c>
      <c r="W113" s="13">
        <f t="shared" si="56"/>
        <v>35.122139567454433</v>
      </c>
      <c r="X113" s="2">
        <f t="shared" si="40"/>
        <v>-137.10950499482414</v>
      </c>
      <c r="Y113" s="3">
        <f t="shared" si="41"/>
        <v>-42.642065078185084</v>
      </c>
      <c r="Z113" s="13">
        <f t="shared" si="42"/>
        <v>4.1152899504429516</v>
      </c>
      <c r="AA113" s="2">
        <f t="shared" si="43"/>
        <v>0.24299624377435772</v>
      </c>
      <c r="AB113" s="3">
        <f t="shared" si="44"/>
        <v>0.2383761077158682</v>
      </c>
      <c r="AC113">
        <f t="shared" si="45"/>
        <v>1.3698534500241347E-2</v>
      </c>
      <c r="AD113" s="2">
        <f t="shared" si="46"/>
        <v>90050850.89751862</v>
      </c>
      <c r="AE113">
        <f t="shared" si="47"/>
        <v>-351539733.71151209</v>
      </c>
      <c r="AF113" s="3">
        <f t="shared" si="48"/>
        <v>-109331444.25734772</v>
      </c>
      <c r="AG113">
        <f t="shared" si="49"/>
        <v>-441590584.60903066</v>
      </c>
      <c r="AI113" s="2">
        <f t="shared" si="50"/>
        <v>-20076.609383415846</v>
      </c>
      <c r="AJ113" s="2">
        <f t="shared" si="51"/>
        <v>-9064.7776408938316</v>
      </c>
      <c r="AK113">
        <f t="shared" si="52"/>
        <v>-199382295.15486634</v>
      </c>
      <c r="AL113" s="18">
        <v>1.6689999999999999E-4</v>
      </c>
      <c r="AM113" s="18">
        <f t="shared" si="53"/>
        <v>3721.4559743581867</v>
      </c>
      <c r="AO113" s="2">
        <f t="shared" si="54"/>
        <v>622.91457208589941</v>
      </c>
      <c r="AP113" s="3">
        <f t="shared" si="55"/>
        <v>605.40884809491013</v>
      </c>
      <c r="AR113">
        <v>1.5060606060606001</v>
      </c>
      <c r="AS113">
        <v>17.755715573584975</v>
      </c>
      <c r="AT113">
        <v>22.629901338946194</v>
      </c>
      <c r="AU113">
        <v>22.475085958058465</v>
      </c>
      <c r="AV113">
        <v>18.643501352264224</v>
      </c>
      <c r="AW113">
        <v>19.093979254735853</v>
      </c>
      <c r="AX113">
        <v>27.377696279517224</v>
      </c>
      <c r="BG113">
        <v>1.4767676767676701</v>
      </c>
      <c r="BH113">
        <v>24.202244980975969</v>
      </c>
      <c r="BI113">
        <v>33.92950073921547</v>
      </c>
      <c r="BN113">
        <v>1.44747474747474</v>
      </c>
      <c r="BO113">
        <v>17.508458156307658</v>
      </c>
      <c r="BP113">
        <v>18.32093188250893</v>
      </c>
      <c r="BQ113">
        <v>26.738816637239317</v>
      </c>
    </row>
    <row r="114" spans="1:69" ht="14.65" thickBot="1" x14ac:dyDescent="0.5">
      <c r="A114" s="2">
        <v>0.70099999999999996</v>
      </c>
      <c r="B114">
        <v>56000</v>
      </c>
      <c r="C114">
        <v>2.67777777777777</v>
      </c>
      <c r="D114" s="5">
        <f t="shared" si="32"/>
        <v>1</v>
      </c>
      <c r="F114" s="2">
        <v>389.97</v>
      </c>
      <c r="G114" s="3">
        <v>2.8454000000000001E-4</v>
      </c>
      <c r="H114">
        <v>1.3261807946552E-2</v>
      </c>
      <c r="I114">
        <v>0.179663466317172</v>
      </c>
      <c r="J114">
        <v>0</v>
      </c>
      <c r="K114" s="13">
        <v>968.07579999999996</v>
      </c>
      <c r="L114">
        <f t="shared" si="33"/>
        <v>2592.2918644444367</v>
      </c>
      <c r="M114">
        <f t="shared" si="34"/>
        <v>956.05114350582903</v>
      </c>
      <c r="N114" s="2">
        <f t="shared" si="35"/>
        <v>0.75183635697622853</v>
      </c>
      <c r="O114">
        <f t="shared" si="36"/>
        <v>1.8300439483227982</v>
      </c>
      <c r="P114" s="4">
        <f t="shared" si="37"/>
        <v>8.9977743824213224E-2</v>
      </c>
      <c r="Q114">
        <f t="shared" si="31"/>
        <v>2.024504681641631</v>
      </c>
      <c r="R114">
        <f t="shared" si="58"/>
        <v>-1.1628631267464185</v>
      </c>
      <c r="S114" s="3">
        <f t="shared" si="57"/>
        <v>-0.32692156600615585</v>
      </c>
      <c r="T114" s="2">
        <f t="shared" si="38"/>
        <v>5.572505232788854E-2</v>
      </c>
      <c r="U114" s="3">
        <f t="shared" si="39"/>
        <v>1.3819713576997341E-2</v>
      </c>
      <c r="V114">
        <v>2.67777777777777</v>
      </c>
      <c r="W114" s="13">
        <f t="shared" si="56"/>
        <v>35.845113602757365</v>
      </c>
      <c r="X114" s="2">
        <f t="shared" si="40"/>
        <v>-148.84648022354156</v>
      </c>
      <c r="Y114" s="3">
        <f t="shared" si="41"/>
        <v>-49.692078032935683</v>
      </c>
      <c r="Z114" s="13">
        <f t="shared" si="42"/>
        <v>4.0322870671243045</v>
      </c>
      <c r="AA114" s="2">
        <f t="shared" si="43"/>
        <v>0.24799821623641677</v>
      </c>
      <c r="AB114" s="3">
        <f t="shared" si="44"/>
        <v>0.24309374576959211</v>
      </c>
      <c r="AC114">
        <f t="shared" si="45"/>
        <v>1.3827576321325785E-2</v>
      </c>
      <c r="AD114" s="2">
        <f t="shared" si="46"/>
        <v>92920996.372514531</v>
      </c>
      <c r="AE114">
        <f t="shared" si="47"/>
        <v>-385853519.73467654</v>
      </c>
      <c r="AF114" s="3">
        <f t="shared" si="48"/>
        <v>-128816369.61211729</v>
      </c>
      <c r="AG114">
        <f t="shared" si="49"/>
        <v>-478774516.10719103</v>
      </c>
      <c r="AI114" s="2">
        <f t="shared" si="50"/>
        <v>-21767.151016429165</v>
      </c>
      <c r="AJ114" s="2">
        <f t="shared" si="51"/>
        <v>-10081.135417600415</v>
      </c>
      <c r="AK114">
        <f t="shared" si="52"/>
        <v>-221737365.98463181</v>
      </c>
      <c r="AL114" s="18">
        <v>1.6689999999999999E-4</v>
      </c>
      <c r="AM114" s="18">
        <f t="shared" si="53"/>
        <v>3686.7265724111444</v>
      </c>
      <c r="AO114" s="2">
        <f t="shared" si="54"/>
        <v>642.76841491539142</v>
      </c>
      <c r="AP114" s="3">
        <f t="shared" si="55"/>
        <v>623.98164898287939</v>
      </c>
      <c r="AR114">
        <v>1.5353535353535299</v>
      </c>
      <c r="AS114">
        <v>18.314500435194638</v>
      </c>
      <c r="AT114">
        <v>23.097743169328119</v>
      </c>
      <c r="AU114">
        <v>22.939727195115616</v>
      </c>
      <c r="AV114">
        <v>19.230225456954372</v>
      </c>
      <c r="AW114">
        <v>19.4887207991206</v>
      </c>
      <c r="AX114">
        <v>27.682654720515675</v>
      </c>
      <c r="BG114">
        <v>1.5060606060606001</v>
      </c>
      <c r="BH114">
        <v>25.069979798848969</v>
      </c>
      <c r="BI114">
        <v>34.63599210166808</v>
      </c>
      <c r="BN114">
        <v>1.4767676767676701</v>
      </c>
      <c r="BO114">
        <v>18.069538144451364</v>
      </c>
      <c r="BP114">
        <v>18.704507765692792</v>
      </c>
      <c r="BQ114">
        <v>27.062522455705313</v>
      </c>
    </row>
    <row r="115" spans="1:69" ht="14.65" thickBot="1" x14ac:dyDescent="0.5">
      <c r="A115" s="2">
        <v>0.70099999999999996</v>
      </c>
      <c r="B115">
        <v>56000</v>
      </c>
      <c r="C115">
        <v>2.7070707070707001</v>
      </c>
      <c r="D115" s="5">
        <f t="shared" si="32"/>
        <v>1</v>
      </c>
      <c r="F115" s="2">
        <v>389.97</v>
      </c>
      <c r="G115" s="3">
        <v>2.8454000000000001E-4</v>
      </c>
      <c r="H115">
        <v>1.3257946943513E-2</v>
      </c>
      <c r="I115">
        <v>0.18167695944937301</v>
      </c>
      <c r="J115">
        <v>0</v>
      </c>
      <c r="K115" s="13">
        <v>968.07579999999996</v>
      </c>
      <c r="L115">
        <f t="shared" si="33"/>
        <v>2620.6496404040336</v>
      </c>
      <c r="M115">
        <f t="shared" si="34"/>
        <v>977.08255158566271</v>
      </c>
      <c r="N115" s="2">
        <f t="shared" si="35"/>
        <v>0.75183635697622853</v>
      </c>
      <c r="O115">
        <f t="shared" si="36"/>
        <v>1.8537625788609411</v>
      </c>
      <c r="P115" s="4">
        <f t="shared" si="37"/>
        <v>8.9977743824213224E-2</v>
      </c>
      <c r="Q115">
        <f t="shared" si="31"/>
        <v>2.1178385826171207</v>
      </c>
      <c r="R115">
        <f t="shared" si="58"/>
        <v>-1.2602567443468722</v>
      </c>
      <c r="S115" s="3">
        <f t="shared" si="57"/>
        <v>-0.3764591239573053</v>
      </c>
      <c r="T115" s="2">
        <f t="shared" si="38"/>
        <v>5.4525587335011567E-2</v>
      </c>
      <c r="U115" s="3">
        <f t="shared" si="39"/>
        <v>1.3798079751849093E-2</v>
      </c>
      <c r="V115">
        <v>2.7070707070707001</v>
      </c>
      <c r="W115" s="13">
        <f t="shared" si="56"/>
        <v>36.576294240103735</v>
      </c>
      <c r="X115" s="2">
        <f t="shared" si="40"/>
        <v>-161.31286327639964</v>
      </c>
      <c r="Y115" s="3">
        <f t="shared" si="41"/>
        <v>-57.221786841510401</v>
      </c>
      <c r="Z115" s="13">
        <f t="shared" si="42"/>
        <v>3.9516793869599534</v>
      </c>
      <c r="AA115" s="2">
        <f t="shared" si="43"/>
        <v>0.25305696694419966</v>
      </c>
      <c r="AB115" s="3">
        <f t="shared" si="44"/>
        <v>0.24785373256041918</v>
      </c>
      <c r="AC115">
        <f t="shared" si="45"/>
        <v>1.3956956960665927E-2</v>
      </c>
      <c r="AD115" s="2">
        <f t="shared" si="46"/>
        <v>95853652.347639978</v>
      </c>
      <c r="AE115">
        <f t="shared" si="47"/>
        <v>-422744497.13784176</v>
      </c>
      <c r="AF115" s="3">
        <f t="shared" si="48"/>
        <v>-149958255.1094805</v>
      </c>
      <c r="AG115">
        <f t="shared" si="49"/>
        <v>-518598149.48548174</v>
      </c>
      <c r="AI115" s="2">
        <f t="shared" si="50"/>
        <v>-23577.704862979528</v>
      </c>
      <c r="AJ115" s="2">
        <f t="shared" si="51"/>
        <v>-11175.667733446615</v>
      </c>
      <c r="AK115">
        <f t="shared" si="52"/>
        <v>-245811907.45712045</v>
      </c>
      <c r="AL115" s="18">
        <v>1.6689999999999999E-4</v>
      </c>
      <c r="AM115" s="18">
        <f t="shared" si="53"/>
        <v>3652.5507099824558</v>
      </c>
      <c r="AO115" s="2">
        <f t="shared" si="54"/>
        <v>663.05466566830648</v>
      </c>
      <c r="AP115" s="3">
        <f t="shared" si="55"/>
        <v>642.90784838331501</v>
      </c>
      <c r="AR115">
        <v>1.56464646464646</v>
      </c>
      <c r="AS115">
        <v>18.885367905011627</v>
      </c>
      <c r="AT115">
        <v>23.571005975705262</v>
      </c>
      <c r="AU115">
        <v>23.409752322258903</v>
      </c>
      <c r="AV115">
        <v>19.829636300262209</v>
      </c>
      <c r="AW115">
        <v>19.888036292001313</v>
      </c>
      <c r="AX115">
        <v>27.975596758353543</v>
      </c>
      <c r="BG115">
        <v>1.5353535353535299</v>
      </c>
      <c r="BH115">
        <v>25.95582432706415</v>
      </c>
      <c r="BI115">
        <v>35.352043210298014</v>
      </c>
      <c r="BN115">
        <v>1.5060606060606001</v>
      </c>
      <c r="BO115">
        <v>18.643501352264224</v>
      </c>
      <c r="BP115">
        <v>19.093979254735853</v>
      </c>
      <c r="BQ115">
        <v>27.377696279517224</v>
      </c>
    </row>
    <row r="116" spans="1:69" ht="14.65" thickBot="1" x14ac:dyDescent="0.5">
      <c r="A116" s="2">
        <v>0.70099999999999996</v>
      </c>
      <c r="B116">
        <v>56000</v>
      </c>
      <c r="C116">
        <v>2.7363636363636301</v>
      </c>
      <c r="D116" s="5">
        <f t="shared" si="32"/>
        <v>1</v>
      </c>
      <c r="F116" s="2">
        <v>389.97</v>
      </c>
      <c r="G116" s="3">
        <v>2.8454000000000001E-4</v>
      </c>
      <c r="H116">
        <v>1.3254126221492E-2</v>
      </c>
      <c r="I116">
        <v>0.183687781283775</v>
      </c>
      <c r="J116">
        <v>0</v>
      </c>
      <c r="K116" s="13">
        <v>968.07579999999996</v>
      </c>
      <c r="L116">
        <f t="shared" si="33"/>
        <v>2649.00741636363</v>
      </c>
      <c r="M116">
        <f t="shared" si="34"/>
        <v>998.34277633565739</v>
      </c>
      <c r="N116" s="2">
        <f t="shared" si="35"/>
        <v>0.75183635697622853</v>
      </c>
      <c r="O116">
        <f t="shared" si="36"/>
        <v>1.8777392624043765</v>
      </c>
      <c r="P116" s="4">
        <f t="shared" si="37"/>
        <v>8.9977743824213224E-2</v>
      </c>
      <c r="Q116">
        <f t="shared" si="31"/>
        <v>2.215271563829698</v>
      </c>
      <c r="R116">
        <f t="shared" si="58"/>
        <v>-1.3636438118263647</v>
      </c>
      <c r="S116" s="3">
        <f t="shared" si="57"/>
        <v>-0.42931500421591606</v>
      </c>
      <c r="T116" s="2">
        <f t="shared" si="38"/>
        <v>5.3364436807511725E-2</v>
      </c>
      <c r="U116" s="3">
        <f t="shared" si="39"/>
        <v>1.3777225509851932E-2</v>
      </c>
      <c r="V116">
        <v>2.7363636363636301</v>
      </c>
      <c r="W116" s="13">
        <f t="shared" si="56"/>
        <v>37.315669743765859</v>
      </c>
      <c r="X116" s="2">
        <f t="shared" si="40"/>
        <v>-174.54640791377469</v>
      </c>
      <c r="Y116" s="3">
        <f t="shared" si="41"/>
        <v>-65.255880640819242</v>
      </c>
      <c r="Z116" s="13">
        <f t="shared" si="42"/>
        <v>3.8733805125967811</v>
      </c>
      <c r="AA116" s="2">
        <f t="shared" si="43"/>
        <v>0.25817241470283092</v>
      </c>
      <c r="AB116" s="3">
        <f t="shared" si="44"/>
        <v>0.25265543462895973</v>
      </c>
      <c r="AC116">
        <f t="shared" si="45"/>
        <v>1.4086661106819463E-2</v>
      </c>
      <c r="AD116" s="2">
        <f t="shared" si="46"/>
        <v>98849485.897811681</v>
      </c>
      <c r="AE116">
        <f t="shared" si="47"/>
        <v>-462374729.06322056</v>
      </c>
      <c r="AF116" s="3">
        <f t="shared" si="48"/>
        <v>-172863311.77887002</v>
      </c>
      <c r="AG116">
        <f t="shared" si="49"/>
        <v>-561224214.96103227</v>
      </c>
      <c r="AI116" s="2">
        <f t="shared" si="50"/>
        <v>-25515.669339423745</v>
      </c>
      <c r="AJ116" s="2">
        <f t="shared" si="51"/>
        <v>-12353.233727253433</v>
      </c>
      <c r="AK116">
        <f t="shared" si="52"/>
        <v>-271712797.6766817</v>
      </c>
      <c r="AL116" s="18">
        <v>1.6689999999999999E-4</v>
      </c>
      <c r="AM116" s="18">
        <f t="shared" si="53"/>
        <v>3618.9195345372377</v>
      </c>
      <c r="AO116" s="2">
        <f t="shared" si="54"/>
        <v>683.77793874508768</v>
      </c>
      <c r="AP116" s="3">
        <f t="shared" si="55"/>
        <v>662.18819199105269</v>
      </c>
      <c r="AR116">
        <v>1.59393939393939</v>
      </c>
      <c r="AS116">
        <v>19.468272487986191</v>
      </c>
      <c r="AT116">
        <v>24.048774966639467</v>
      </c>
      <c r="AU116">
        <v>23.884252806309231</v>
      </c>
      <c r="AV116">
        <v>20.441686112385501</v>
      </c>
      <c r="AW116">
        <v>20.291153878102051</v>
      </c>
      <c r="AX116">
        <v>28.254597662877856</v>
      </c>
      <c r="BG116">
        <v>1.56464646464646</v>
      </c>
      <c r="BH116">
        <v>26.859659844027028</v>
      </c>
      <c r="BI116">
        <v>36.076391345014862</v>
      </c>
      <c r="BN116">
        <v>1.5353535353535299</v>
      </c>
      <c r="BO116">
        <v>19.230225456954372</v>
      </c>
      <c r="BP116">
        <v>19.4887207991206</v>
      </c>
      <c r="BQ116">
        <v>27.682654720515675</v>
      </c>
    </row>
    <row r="117" spans="1:69" ht="14.65" thickBot="1" x14ac:dyDescent="0.5">
      <c r="A117" s="2">
        <v>0.70099999999999996</v>
      </c>
      <c r="B117">
        <v>56000</v>
      </c>
      <c r="C117">
        <v>2.7656565656565602</v>
      </c>
      <c r="D117" s="5">
        <f t="shared" si="32"/>
        <v>1</v>
      </c>
      <c r="F117" s="2">
        <v>389.97</v>
      </c>
      <c r="G117" s="3">
        <v>2.8454000000000001E-4</v>
      </c>
      <c r="H117">
        <v>1.3250344545461999E-2</v>
      </c>
      <c r="I117">
        <v>0.18569602279974301</v>
      </c>
      <c r="J117">
        <v>0</v>
      </c>
      <c r="K117" s="13">
        <v>968.07579999999996</v>
      </c>
      <c r="L117">
        <f t="shared" si="33"/>
        <v>2677.3651923232269</v>
      </c>
      <c r="M117">
        <f t="shared" si="34"/>
        <v>1019.8318177558139</v>
      </c>
      <c r="N117" s="2">
        <f t="shared" si="35"/>
        <v>0.75183635697622853</v>
      </c>
      <c r="O117">
        <f t="shared" si="36"/>
        <v>1.9019739989531042</v>
      </c>
      <c r="P117" s="4">
        <f t="shared" si="37"/>
        <v>8.9977743824213224E-2</v>
      </c>
      <c r="Q117">
        <f t="shared" si="31"/>
        <v>2.316965046434087</v>
      </c>
      <c r="R117">
        <f t="shared" si="58"/>
        <v>-1.4733319997570011</v>
      </c>
      <c r="S117" s="3">
        <f t="shared" si="57"/>
        <v>-0.48565820557782508</v>
      </c>
      <c r="T117" s="2">
        <f t="shared" si="38"/>
        <v>5.2239986115785494E-2</v>
      </c>
      <c r="U117" s="3">
        <f t="shared" si="39"/>
        <v>1.3757111990557663E-2</v>
      </c>
      <c r="V117">
        <v>2.7656565656565602</v>
      </c>
      <c r="W117" s="13">
        <f t="shared" si="56"/>
        <v>38.063228653551164</v>
      </c>
      <c r="X117" s="2">
        <f t="shared" si="40"/>
        <v>-188.58649596889614</v>
      </c>
      <c r="Y117" s="3">
        <f t="shared" si="41"/>
        <v>-73.820047247829407</v>
      </c>
      <c r="Z117" s="13">
        <f t="shared" si="42"/>
        <v>3.79730761453719</v>
      </c>
      <c r="AA117" s="2">
        <f t="shared" si="43"/>
        <v>0.26334448022375412</v>
      </c>
      <c r="AB117" s="3">
        <f t="shared" si="44"/>
        <v>0.25749820789102695</v>
      </c>
      <c r="AC117">
        <f t="shared" si="45"/>
        <v>1.4216674199952007E-2</v>
      </c>
      <c r="AD117" s="2">
        <f t="shared" si="46"/>
        <v>101909163.50445798</v>
      </c>
      <c r="AE117">
        <f t="shared" si="47"/>
        <v>-504914920.04932708</v>
      </c>
      <c r="AF117" s="3">
        <f t="shared" si="48"/>
        <v>-197643224.9969945</v>
      </c>
      <c r="AG117">
        <f t="shared" si="49"/>
        <v>-606824083.55378509</v>
      </c>
      <c r="AI117" s="2">
        <f t="shared" si="50"/>
        <v>-27588.835710220206</v>
      </c>
      <c r="AJ117" s="2">
        <f t="shared" si="51"/>
        <v>-13618.941398258021</v>
      </c>
      <c r="AK117">
        <f t="shared" si="52"/>
        <v>-299552388.50145245</v>
      </c>
      <c r="AL117" s="18">
        <v>1.6689999999999999E-4</v>
      </c>
      <c r="AM117" s="18">
        <f t="shared" si="53"/>
        <v>3585.8241061785748</v>
      </c>
      <c r="AO117" s="2">
        <f t="shared" si="54"/>
        <v>704.94284444080279</v>
      </c>
      <c r="AP117" s="3">
        <f t="shared" si="55"/>
        <v>681.82328990604663</v>
      </c>
      <c r="AR117">
        <v>1.62323232323232</v>
      </c>
      <c r="AS117">
        <v>20.06318272675497</v>
      </c>
      <c r="AT117">
        <v>24.530039109225939</v>
      </c>
      <c r="AU117">
        <v>24.362224531026701</v>
      </c>
      <c r="AV117">
        <v>21.06634186309272</v>
      </c>
      <c r="AW117">
        <v>20.697220498409383</v>
      </c>
      <c r="AX117">
        <v>28.51760270525871</v>
      </c>
      <c r="BG117">
        <v>1.59393939393939</v>
      </c>
      <c r="BH117">
        <v>27.781404939297516</v>
      </c>
      <c r="BI117">
        <v>36.807636380004908</v>
      </c>
      <c r="BN117">
        <v>1.56464646464646</v>
      </c>
      <c r="BO117">
        <v>19.829636300262209</v>
      </c>
      <c r="BP117">
        <v>19.888036292001313</v>
      </c>
      <c r="BQ117">
        <v>27.975596758353543</v>
      </c>
    </row>
    <row r="118" spans="1:69" ht="14.65" thickBot="1" x14ac:dyDescent="0.5">
      <c r="A118" s="2">
        <v>0.70099999999999996</v>
      </c>
      <c r="B118">
        <v>56000</v>
      </c>
      <c r="C118">
        <v>2.7949494949494902</v>
      </c>
      <c r="D118" s="5">
        <f t="shared" si="32"/>
        <v>1</v>
      </c>
      <c r="F118" s="2">
        <v>389.97</v>
      </c>
      <c r="G118" s="3">
        <v>2.8454000000000001E-4</v>
      </c>
      <c r="H118">
        <v>1.3246600742247001E-2</v>
      </c>
      <c r="I118">
        <v>0.187701770858656</v>
      </c>
      <c r="J118">
        <v>0</v>
      </c>
      <c r="K118" s="13">
        <v>968.07579999999996</v>
      </c>
      <c r="L118">
        <f t="shared" si="33"/>
        <v>2705.7229682828233</v>
      </c>
      <c r="M118">
        <f t="shared" si="34"/>
        <v>1041.5496758461313</v>
      </c>
      <c r="N118" s="2">
        <f t="shared" si="35"/>
        <v>0.75183635697622853</v>
      </c>
      <c r="O118">
        <f t="shared" si="36"/>
        <v>1.9264667885071234</v>
      </c>
      <c r="P118" s="4">
        <f t="shared" si="37"/>
        <v>8.9977743824213224E-2</v>
      </c>
      <c r="Q118">
        <f t="shared" si="31"/>
        <v>2.4230858962838306</v>
      </c>
      <c r="R118">
        <f t="shared" si="58"/>
        <v>-1.5896421434161723</v>
      </c>
      <c r="S118" s="3">
        <f t="shared" si="57"/>
        <v>-0.54566450039871384</v>
      </c>
      <c r="T118" s="2">
        <f t="shared" si="38"/>
        <v>5.1150704796408084E-2</v>
      </c>
      <c r="U118" s="3">
        <f t="shared" si="39"/>
        <v>1.3737702642151503E-2</v>
      </c>
      <c r="V118">
        <v>2.7949494949494902</v>
      </c>
      <c r="W118" s="13">
        <f t="shared" si="56"/>
        <v>38.818959777808736</v>
      </c>
      <c r="X118" s="2">
        <f t="shared" si="40"/>
        <v>-203.47419435727005</v>
      </c>
      <c r="Y118" s="3">
        <f t="shared" si="41"/>
        <v>-82.941004060604513</v>
      </c>
      <c r="Z118" s="13">
        <f t="shared" si="42"/>
        <v>3.7233812762449792</v>
      </c>
      <c r="AA118" s="2">
        <f t="shared" si="43"/>
        <v>0.26857308607634661</v>
      </c>
      <c r="AB118" s="3">
        <f t="shared" si="44"/>
        <v>0.26238139765098512</v>
      </c>
      <c r="AC118">
        <f t="shared" si="45"/>
        <v>1.434698238986567E-2</v>
      </c>
      <c r="AD118" s="2">
        <f t="shared" si="46"/>
        <v>105033351.07566418</v>
      </c>
      <c r="AE118">
        <f t="shared" si="47"/>
        <v>-550544801.12530887</v>
      </c>
      <c r="AF118" s="3">
        <f t="shared" si="48"/>
        <v>-224415379.69921654</v>
      </c>
      <c r="AG118">
        <f t="shared" si="49"/>
        <v>-655578152.20097291</v>
      </c>
      <c r="AI118" s="2">
        <f t="shared" si="50"/>
        <v>-29805.405596891233</v>
      </c>
      <c r="AJ118" s="2">
        <f t="shared" si="51"/>
        <v>-14978.157846108541</v>
      </c>
      <c r="AK118">
        <f t="shared" si="52"/>
        <v>-329448730.77488071</v>
      </c>
      <c r="AL118" s="18">
        <v>1.6689999999999999E-4</v>
      </c>
      <c r="AM118" s="18">
        <f t="shared" si="53"/>
        <v>3553.2554282554061</v>
      </c>
      <c r="AO118" s="2">
        <f t="shared" si="54"/>
        <v>726.55398908449683</v>
      </c>
      <c r="AP118" s="3">
        <f t="shared" si="55"/>
        <v>701.81361513593504</v>
      </c>
      <c r="AR118">
        <v>1.6525252525252501</v>
      </c>
      <c r="AS118">
        <v>20.670074978172497</v>
      </c>
      <c r="AT118">
        <v>25.013684339600267</v>
      </c>
      <c r="AU118">
        <v>24.842561054065833</v>
      </c>
      <c r="AV118">
        <v>21.703578727081123</v>
      </c>
      <c r="AW118">
        <v>21.105296161537723</v>
      </c>
      <c r="AX118">
        <v>28.762420653303622</v>
      </c>
      <c r="BG118">
        <v>1.62323232323232</v>
      </c>
      <c r="BH118">
        <v>28.721000536762304</v>
      </c>
      <c r="BI118">
        <v>37.544230887942668</v>
      </c>
      <c r="BN118">
        <v>1.59393939393939</v>
      </c>
      <c r="BO118">
        <v>20.441686112385501</v>
      </c>
      <c r="BP118">
        <v>20.291153878102051</v>
      </c>
      <c r="BQ118">
        <v>28.254597662877856</v>
      </c>
    </row>
    <row r="119" spans="1:69" ht="14.65" thickBot="1" x14ac:dyDescent="0.5">
      <c r="A119" s="2">
        <v>0.70099999999999996</v>
      </c>
      <c r="B119">
        <v>56000</v>
      </c>
      <c r="C119">
        <v>2.8242424242424198</v>
      </c>
      <c r="D119" s="5">
        <f t="shared" si="32"/>
        <v>1</v>
      </c>
      <c r="F119" s="2">
        <v>389.97</v>
      </c>
      <c r="G119" s="3">
        <v>2.8454000000000001E-4</v>
      </c>
      <c r="H119">
        <v>1.3242893696268E-2</v>
      </c>
      <c r="I119">
        <v>0.18970510843401001</v>
      </c>
      <c r="J119">
        <v>0</v>
      </c>
      <c r="K119" s="13">
        <v>968.07579999999996</v>
      </c>
      <c r="L119">
        <f t="shared" si="33"/>
        <v>2734.0807442424198</v>
      </c>
      <c r="M119">
        <f t="shared" si="34"/>
        <v>1063.4963506066101</v>
      </c>
      <c r="N119" s="2">
        <f t="shared" si="35"/>
        <v>0.75183635697622853</v>
      </c>
      <c r="O119">
        <f t="shared" si="36"/>
        <v>1.9512176310664349</v>
      </c>
      <c r="P119" s="4">
        <f t="shared" si="37"/>
        <v>8.9977743824213224E-2</v>
      </c>
      <c r="Q119">
        <f t="shared" si="31"/>
        <v>2.5338065708234079</v>
      </c>
      <c r="R119">
        <f t="shared" si="58"/>
        <v>-1.7129087001082206</v>
      </c>
      <c r="S119" s="3">
        <f t="shared" si="57"/>
        <v>-0.60951664225803515</v>
      </c>
      <c r="T119" s="2">
        <f t="shared" si="38"/>
        <v>5.0095141341680929E-2</v>
      </c>
      <c r="U119" s="3">
        <f t="shared" si="39"/>
        <v>1.3718963064393947E-2</v>
      </c>
      <c r="V119">
        <v>2.8242424242424198</v>
      </c>
      <c r="W119" s="13">
        <f t="shared" si="56"/>
        <v>39.582852186332744</v>
      </c>
      <c r="X119" s="2">
        <f t="shared" si="40"/>
        <v>-219.25231361385224</v>
      </c>
      <c r="Y119" s="3">
        <f t="shared" si="41"/>
        <v>-92.64652962322134</v>
      </c>
      <c r="Z119" s="13">
        <f t="shared" si="42"/>
        <v>3.6515253453591789</v>
      </c>
      <c r="AA119" s="2">
        <f t="shared" si="43"/>
        <v>0.27385815663882129</v>
      </c>
      <c r="AB119" s="3">
        <f t="shared" si="44"/>
        <v>0.26730433862955055</v>
      </c>
      <c r="AC119">
        <f t="shared" si="45"/>
        <v>1.4477572496601839E-2</v>
      </c>
      <c r="AD119" s="2">
        <f t="shared" si="46"/>
        <v>108222713.96484631</v>
      </c>
      <c r="AE119">
        <f t="shared" si="47"/>
        <v>-599453528.7822336</v>
      </c>
      <c r="AF119" s="3">
        <f t="shared" si="48"/>
        <v>-253303092.66373441</v>
      </c>
      <c r="AG119">
        <f t="shared" si="49"/>
        <v>-707676242.74707985</v>
      </c>
      <c r="AI119" s="2">
        <f t="shared" si="50"/>
        <v>-32174.009117824698</v>
      </c>
      <c r="AJ119" s="2">
        <f t="shared" si="51"/>
        <v>-16436.519832352227</v>
      </c>
      <c r="AK119">
        <f t="shared" si="52"/>
        <v>-361525806.62858075</v>
      </c>
      <c r="AL119" s="18">
        <v>1.6689999999999999E-4</v>
      </c>
      <c r="AM119" s="18">
        <f t="shared" si="53"/>
        <v>3521.2044745650919</v>
      </c>
      <c r="AO119" s="2">
        <f t="shared" si="54"/>
        <v>748.61597516836491</v>
      </c>
      <c r="AP119" s="3">
        <f t="shared" si="55"/>
        <v>722.1595021972571</v>
      </c>
      <c r="AR119">
        <v>1.6818181818181801</v>
      </c>
      <c r="AS119">
        <v>21.288929825586855</v>
      </c>
      <c r="AT119">
        <v>25.498486437262866</v>
      </c>
      <c r="AU119">
        <v>25.324046530048083</v>
      </c>
      <c r="AV119">
        <v>22.3533763168662</v>
      </c>
      <c r="AW119">
        <v>21.51434793144054</v>
      </c>
      <c r="AX119">
        <v>28.986717046391259</v>
      </c>
      <c r="BG119">
        <v>1.6525252525252501</v>
      </c>
      <c r="BH119">
        <v>29.678401389836569</v>
      </c>
      <c r="BI119">
        <v>38.284469748393434</v>
      </c>
      <c r="BN119">
        <v>1.62323232323232</v>
      </c>
      <c r="BO119">
        <v>21.06634186309272</v>
      </c>
      <c r="BP119">
        <v>20.697220498409383</v>
      </c>
      <c r="BQ119">
        <v>28.51760270525871</v>
      </c>
    </row>
    <row r="120" spans="1:69" ht="14.65" thickBot="1" x14ac:dyDescent="0.5">
      <c r="A120" s="2">
        <v>0.70099999999999996</v>
      </c>
      <c r="B120">
        <v>56000</v>
      </c>
      <c r="C120">
        <v>2.8535353535353498</v>
      </c>
      <c r="D120" s="5">
        <f t="shared" si="32"/>
        <v>1</v>
      </c>
      <c r="F120" s="2">
        <v>389.97</v>
      </c>
      <c r="G120" s="3">
        <v>2.8454000000000001E-4</v>
      </c>
      <c r="H120">
        <v>1.3239222345661999E-2</v>
      </c>
      <c r="I120">
        <v>0.191706114826483</v>
      </c>
      <c r="J120">
        <v>0</v>
      </c>
      <c r="K120" s="13">
        <v>968.07579999999996</v>
      </c>
      <c r="L120">
        <f t="shared" si="33"/>
        <v>2762.4385202020167</v>
      </c>
      <c r="M120">
        <f t="shared" si="34"/>
        <v>1085.6718420372508</v>
      </c>
      <c r="N120" s="2">
        <f t="shared" si="35"/>
        <v>0.75183635697622853</v>
      </c>
      <c r="O120">
        <f t="shared" si="36"/>
        <v>1.9762265266310388</v>
      </c>
      <c r="P120" s="4">
        <f t="shared" si="37"/>
        <v>8.9977743824213224E-2</v>
      </c>
      <c r="Q120">
        <f t="shared" si="31"/>
        <v>2.6493052688201435</v>
      </c>
      <c r="R120">
        <f t="shared" si="58"/>
        <v>-1.843480218641244</v>
      </c>
      <c r="S120" s="3">
        <f t="shared" si="57"/>
        <v>-0.67740457804225584</v>
      </c>
      <c r="T120" s="2">
        <f t="shared" si="38"/>
        <v>4.9071918361655385E-2</v>
      </c>
      <c r="U120" s="3">
        <f t="shared" si="39"/>
        <v>1.3700860863502848E-2</v>
      </c>
      <c r="V120">
        <v>2.8535353535353498</v>
      </c>
      <c r="W120" s="13">
        <f t="shared" si="56"/>
        <v>40.354895203238364</v>
      </c>
      <c r="X120" s="2">
        <f t="shared" si="40"/>
        <v>-235.96546798607923</v>
      </c>
      <c r="Y120" s="3">
        <f t="shared" si="41"/>
        <v>-102.96549586242288</v>
      </c>
      <c r="Z120" s="13">
        <f t="shared" si="42"/>
        <v>3.5816667909077178</v>
      </c>
      <c r="AA120" s="2">
        <f t="shared" si="43"/>
        <v>0.27919961804893795</v>
      </c>
      <c r="AB120" s="3">
        <f t="shared" si="44"/>
        <v>0.27226635500677893</v>
      </c>
      <c r="AC120">
        <f t="shared" si="45"/>
        <v>1.4608431973460614E-2</v>
      </c>
      <c r="AD120" s="2">
        <f t="shared" si="46"/>
        <v>111477916.98814125</v>
      </c>
      <c r="AE120">
        <f t="shared" si="47"/>
        <v>-651840098.20224094</v>
      </c>
      <c r="AF120" s="3">
        <f t="shared" si="48"/>
        <v>-284435852.02205831</v>
      </c>
      <c r="AG120">
        <f t="shared" si="49"/>
        <v>-763318015.19038224</v>
      </c>
      <c r="AI120" s="2">
        <f t="shared" si="50"/>
        <v>-34703.723676241148</v>
      </c>
      <c r="AJ120" s="2">
        <f t="shared" si="51"/>
        <v>-17999.94467040354</v>
      </c>
      <c r="AK120">
        <f t="shared" si="52"/>
        <v>-395913769.01019955</v>
      </c>
      <c r="AL120" s="18">
        <v>1.6689999999999999E-4</v>
      </c>
      <c r="AM120" s="18">
        <f t="shared" si="53"/>
        <v>3489.6622134729046</v>
      </c>
      <c r="AO120" s="2">
        <f t="shared" si="54"/>
        <v>771.13340146804649</v>
      </c>
      <c r="AP120" s="3">
        <f t="shared" si="55"/>
        <v>742.86114582207074</v>
      </c>
      <c r="AR120">
        <v>1.7111111111111099</v>
      </c>
      <c r="AS120">
        <v>21.919729986835005</v>
      </c>
      <c r="AT120">
        <v>25.983103550737631</v>
      </c>
      <c r="AU120">
        <v>25.80534828735388</v>
      </c>
      <c r="AV120">
        <v>23.015716486176757</v>
      </c>
      <c r="AW120">
        <v>21.923243620934876</v>
      </c>
      <c r="AX120">
        <v>29.188007245453537</v>
      </c>
      <c r="BG120">
        <v>1.6818181818181801</v>
      </c>
      <c r="BH120">
        <v>30.653571033584264</v>
      </c>
      <c r="BI120">
        <v>39.026479241674579</v>
      </c>
      <c r="BN120">
        <v>1.6525252525252501</v>
      </c>
      <c r="BO120">
        <v>21.703578727081123</v>
      </c>
      <c r="BP120">
        <v>21.105296161537723</v>
      </c>
      <c r="BQ120">
        <v>28.762420653303622</v>
      </c>
    </row>
    <row r="121" spans="1:69" ht="14.65" thickBot="1" x14ac:dyDescent="0.5">
      <c r="A121" s="2">
        <v>0.70099999999999996</v>
      </c>
      <c r="B121">
        <v>56000</v>
      </c>
      <c r="C121">
        <v>2.8828282828282799</v>
      </c>
      <c r="D121" s="5">
        <f t="shared" si="32"/>
        <v>1</v>
      </c>
      <c r="F121" s="2">
        <v>389.97</v>
      </c>
      <c r="G121" s="3">
        <v>2.8454000000000001E-4</v>
      </c>
      <c r="H121">
        <v>1.3235585678726999E-2</v>
      </c>
      <c r="I121">
        <v>0.19370486586504401</v>
      </c>
      <c r="J121">
        <v>0</v>
      </c>
      <c r="K121" s="13">
        <v>968.07579999999996</v>
      </c>
      <c r="L121">
        <f t="shared" si="33"/>
        <v>2790.7962961616131</v>
      </c>
      <c r="M121">
        <f t="shared" si="34"/>
        <v>1108.0761501380525</v>
      </c>
      <c r="N121" s="2">
        <f t="shared" si="35"/>
        <v>0.75183635697622853</v>
      </c>
      <c r="O121">
        <f t="shared" si="36"/>
        <v>2.0014934752009346</v>
      </c>
      <c r="P121" s="4">
        <f t="shared" si="37"/>
        <v>8.9977743824213224E-2</v>
      </c>
      <c r="Q121">
        <f t="shared" si="31"/>
        <v>2.7697660829657345</v>
      </c>
      <c r="R121">
        <f t="shared" si="58"/>
        <v>-1.9817198211807527</v>
      </c>
      <c r="S121" s="3">
        <f t="shared" si="57"/>
        <v>-0.74952566449924063</v>
      </c>
      <c r="T121" s="2">
        <f t="shared" si="38"/>
        <v>4.80797280885095E-2</v>
      </c>
      <c r="U121" s="3">
        <f t="shared" si="39"/>
        <v>1.3683365517972512E-2</v>
      </c>
      <c r="V121">
        <v>2.8828282828282799</v>
      </c>
      <c r="W121" s="13">
        <f t="shared" si="56"/>
        <v>41.135078399827378</v>
      </c>
      <c r="X121" s="2">
        <f t="shared" si="40"/>
        <v>-253.66013711113635</v>
      </c>
      <c r="Y121" s="3">
        <f t="shared" si="41"/>
        <v>-113.92790100388457</v>
      </c>
      <c r="Z121" s="13">
        <f t="shared" si="42"/>
        <v>3.5137355663969401</v>
      </c>
      <c r="AA121" s="2">
        <f t="shared" si="43"/>
        <v>0.28459739815464302</v>
      </c>
      <c r="AB121" s="3">
        <f t="shared" si="44"/>
        <v>0.27726676048056187</v>
      </c>
      <c r="AC121">
        <f t="shared" si="45"/>
        <v>1.4739548872271141E-2</v>
      </c>
      <c r="AD121" s="2">
        <f t="shared" si="46"/>
        <v>114799624.44055583</v>
      </c>
      <c r="AE121">
        <f t="shared" si="47"/>
        <v>-707913771.13360631</v>
      </c>
      <c r="AF121" s="3">
        <f t="shared" si="48"/>
        <v>-317949564.15110797</v>
      </c>
      <c r="AG121">
        <f t="shared" si="49"/>
        <v>-822713395.57416201</v>
      </c>
      <c r="AI121" s="2">
        <f t="shared" si="50"/>
        <v>-37404.093413970739</v>
      </c>
      <c r="AJ121" s="2">
        <f t="shared" si="51"/>
        <v>-19674.641451056235</v>
      </c>
      <c r="AK121">
        <f t="shared" si="52"/>
        <v>-432749188.59166378</v>
      </c>
      <c r="AL121" s="18">
        <v>1.6689999999999999E-4</v>
      </c>
      <c r="AM121" s="18">
        <f t="shared" si="53"/>
        <v>3458.6196292464888</v>
      </c>
      <c r="AO121" s="2">
        <f t="shared" si="54"/>
        <v>794.11086315433454</v>
      </c>
      <c r="AP121" s="3">
        <f t="shared" si="55"/>
        <v>763.91859977566105</v>
      </c>
      <c r="AR121">
        <v>1.74040404040404</v>
      </c>
      <c r="AS121">
        <v>22.562459099028437</v>
      </c>
      <c r="AT121">
        <v>26.466068361835589</v>
      </c>
      <c r="AU121">
        <v>26.28500904599197</v>
      </c>
      <c r="AV121">
        <v>23.69058205397986</v>
      </c>
      <c r="AW121">
        <v>22.330745180298777</v>
      </c>
      <c r="AX121">
        <v>29.363649253428466</v>
      </c>
      <c r="BG121">
        <v>1.7111111111111099</v>
      </c>
      <c r="BH121">
        <v>31.646478691501965</v>
      </c>
      <c r="BI121">
        <v>39.768205609069639</v>
      </c>
      <c r="BN121">
        <v>1.6818181818181801</v>
      </c>
      <c r="BO121">
        <v>22.3533763168662</v>
      </c>
      <c r="BP121">
        <v>21.51434793144054</v>
      </c>
      <c r="BQ121">
        <v>28.986717046391259</v>
      </c>
    </row>
    <row r="122" spans="1:69" ht="14.65" thickBot="1" x14ac:dyDescent="0.5">
      <c r="A122" s="2">
        <v>0.70099999999999996</v>
      </c>
      <c r="B122">
        <v>56000</v>
      </c>
      <c r="C122">
        <v>2.9121212121212099</v>
      </c>
      <c r="D122" s="5">
        <f t="shared" si="32"/>
        <v>1</v>
      </c>
      <c r="F122" s="2">
        <v>389.97</v>
      </c>
      <c r="G122" s="3">
        <v>2.8454000000000001E-4</v>
      </c>
      <c r="H122">
        <v>1.3231982730668E-2</v>
      </c>
      <c r="I122">
        <v>0.195701434095127</v>
      </c>
      <c r="J122">
        <v>0</v>
      </c>
      <c r="K122" s="13">
        <v>968.07579999999996</v>
      </c>
      <c r="L122">
        <f t="shared" si="33"/>
        <v>2819.15407212121</v>
      </c>
      <c r="M122">
        <f t="shared" si="34"/>
        <v>1130.7092749090159</v>
      </c>
      <c r="N122" s="2">
        <f t="shared" si="35"/>
        <v>0.75183635697622853</v>
      </c>
      <c r="O122">
        <f t="shared" si="36"/>
        <v>2.027018476776123</v>
      </c>
      <c r="P122" s="4">
        <f t="shared" si="37"/>
        <v>8.9977743824213224E-2</v>
      </c>
      <c r="Q122">
        <f t="shared" si="31"/>
        <v>2.8953791553771744</v>
      </c>
      <c r="R122">
        <f t="shared" si="58"/>
        <v>-2.128005697703983</v>
      </c>
      <c r="S122" s="3">
        <f t="shared" si="57"/>
        <v>-0.82608488931562485</v>
      </c>
      <c r="T122" s="2">
        <f t="shared" si="38"/>
        <v>4.7117328195867968E-2</v>
      </c>
      <c r="U122" s="3">
        <f t="shared" si="39"/>
        <v>1.366644825443356E-2</v>
      </c>
      <c r="V122">
        <v>2.9121212121212099</v>
      </c>
      <c r="W122" s="13">
        <f t="shared" si="56"/>
        <v>41.923391587503403</v>
      </c>
      <c r="X122" s="2">
        <f t="shared" si="40"/>
        <v>-272.38472930610982</v>
      </c>
      <c r="Y122" s="3">
        <f t="shared" si="41"/>
        <v>-125.56490317597498</v>
      </c>
      <c r="Z122" s="13">
        <f t="shared" si="42"/>
        <v>3.4476644786316402</v>
      </c>
      <c r="AA122" s="2">
        <f t="shared" si="43"/>
        <v>0.29005142646505289</v>
      </c>
      <c r="AB122" s="3">
        <f t="shared" si="44"/>
        <v>0.28230485834120322</v>
      </c>
      <c r="AC122">
        <f t="shared" si="45"/>
        <v>1.4870911810775591E-2</v>
      </c>
      <c r="AD122" s="2">
        <f t="shared" si="46"/>
        <v>118188500.11104231</v>
      </c>
      <c r="AE122">
        <f t="shared" si="47"/>
        <v>-767894518.80695295</v>
      </c>
      <c r="AF122" s="3">
        <f t="shared" si="48"/>
        <v>-353986808.10405529</v>
      </c>
      <c r="AG122">
        <f t="shared" si="49"/>
        <v>-886083018.91799521</v>
      </c>
      <c r="AI122" s="2">
        <f t="shared" si="50"/>
        <v>-40285.14934901685</v>
      </c>
      <c r="AJ122" s="2">
        <f t="shared" si="51"/>
        <v>-21467.122610690363</v>
      </c>
      <c r="AK122">
        <f t="shared" si="52"/>
        <v>-472175308.21509767</v>
      </c>
      <c r="AL122" s="18">
        <v>1.6689999999999999E-4</v>
      </c>
      <c r="AM122" s="18">
        <f t="shared" si="53"/>
        <v>3428.0677408721808</v>
      </c>
      <c r="AO122" s="2">
        <f t="shared" si="54"/>
        <v>817.55295189745789</v>
      </c>
      <c r="AP122" s="3">
        <f t="shared" si="55"/>
        <v>785.33177579166215</v>
      </c>
      <c r="AR122">
        <v>1.76969696969697</v>
      </c>
      <c r="AS122">
        <v>23.217101028230662</v>
      </c>
      <c r="AT122">
        <v>26.945779875546904</v>
      </c>
      <c r="AU122">
        <v>26.761438763658347</v>
      </c>
      <c r="AV122">
        <v>24.377956079642196</v>
      </c>
      <c r="AW122">
        <v>22.735501769992702</v>
      </c>
      <c r="AX122">
        <v>29.510836301600087</v>
      </c>
      <c r="BG122">
        <v>1.74040404040404</v>
      </c>
      <c r="BH122">
        <v>32.657097335932811</v>
      </c>
      <c r="BI122">
        <v>40.507403059912413</v>
      </c>
      <c r="BN122">
        <v>1.7111111111111099</v>
      </c>
      <c r="BO122">
        <v>23.015716486176757</v>
      </c>
      <c r="BP122">
        <v>21.923243620934876</v>
      </c>
      <c r="BQ122">
        <v>29.188007245453537</v>
      </c>
    </row>
    <row r="123" spans="1:69" ht="14.65" thickBot="1" x14ac:dyDescent="0.5">
      <c r="A123" s="2">
        <v>0.70099999999999996</v>
      </c>
      <c r="B123">
        <v>56000</v>
      </c>
      <c r="C123">
        <v>2.9414141414141399</v>
      </c>
      <c r="D123" s="5">
        <f t="shared" si="32"/>
        <v>1</v>
      </c>
      <c r="F123" s="2">
        <v>389.97</v>
      </c>
      <c r="G123" s="3">
        <v>2.8454000000000001E-4</v>
      </c>
      <c r="H123">
        <v>1.3228412580607E-2</v>
      </c>
      <c r="I123">
        <v>0.197695888954799</v>
      </c>
      <c r="J123">
        <v>0</v>
      </c>
      <c r="K123" s="13">
        <v>968.07579999999996</v>
      </c>
      <c r="L123">
        <f t="shared" si="33"/>
        <v>2847.5118480808064</v>
      </c>
      <c r="M123">
        <f t="shared" si="34"/>
        <v>1153.5712163501403</v>
      </c>
      <c r="N123" s="2">
        <f t="shared" si="35"/>
        <v>0.75183635697622853</v>
      </c>
      <c r="O123">
        <f t="shared" si="36"/>
        <v>2.0528015313566028</v>
      </c>
      <c r="P123" s="4">
        <f t="shared" si="37"/>
        <v>8.9977743824213224E-2</v>
      </c>
      <c r="Q123">
        <f t="shared" si="31"/>
        <v>3.0263408360268924</v>
      </c>
      <c r="R123">
        <f t="shared" si="58"/>
        <v>-2.2827316132807378</v>
      </c>
      <c r="S123" s="3">
        <f t="shared" si="57"/>
        <v>-0.90729509676913833</v>
      </c>
      <c r="T123" s="2">
        <f t="shared" si="38"/>
        <v>4.6183537908100231E-2</v>
      </c>
      <c r="U123" s="3">
        <f t="shared" si="39"/>
        <v>1.3650081932722123E-2</v>
      </c>
      <c r="V123">
        <v>2.9414141414141399</v>
      </c>
      <c r="W123" s="13">
        <f t="shared" si="56"/>
        <v>42.719824810744527</v>
      </c>
      <c r="X123" s="2">
        <f t="shared" si="40"/>
        <v>-292.18964649993444</v>
      </c>
      <c r="Y123" s="3">
        <f t="shared" si="41"/>
        <v>-137.90885470890902</v>
      </c>
      <c r="Z123" s="13">
        <f t="shared" si="42"/>
        <v>3.3833890621116756</v>
      </c>
      <c r="AA123" s="2">
        <f t="shared" si="43"/>
        <v>0.2955616341018345</v>
      </c>
      <c r="AB123" s="3">
        <f t="shared" si="44"/>
        <v>0.2873799415622732</v>
      </c>
      <c r="AC123">
        <f t="shared" si="45"/>
        <v>1.5002509941982243E-2</v>
      </c>
      <c r="AD123" s="2">
        <f t="shared" si="46"/>
        <v>121645207.29653142</v>
      </c>
      <c r="AE123">
        <f t="shared" si="47"/>
        <v>-832013480.29510581</v>
      </c>
      <c r="AF123" s="3">
        <f t="shared" si="48"/>
        <v>-392697097.73887295</v>
      </c>
      <c r="AG123">
        <f t="shared" si="49"/>
        <v>-953658687.59163737</v>
      </c>
      <c r="AI123" s="2">
        <f t="shared" si="50"/>
        <v>-43357.430215206543</v>
      </c>
      <c r="AJ123" s="2">
        <f t="shared" si="51"/>
        <v>-23384.215849402779</v>
      </c>
      <c r="AK123">
        <f t="shared" si="52"/>
        <v>-514342305.03540438</v>
      </c>
      <c r="AL123" s="18">
        <v>1.6689999999999999E-4</v>
      </c>
      <c r="AM123" s="18">
        <f t="shared" si="53"/>
        <v>3397.9976185997625</v>
      </c>
      <c r="AO123" s="2">
        <f t="shared" si="54"/>
        <v>841.46425596415315</v>
      </c>
      <c r="AP123" s="3">
        <f t="shared" si="55"/>
        <v>807.10044262987856</v>
      </c>
      <c r="AR123">
        <v>1.79898989898989</v>
      </c>
      <c r="AS123">
        <v>23.883639496985616</v>
      </c>
      <c r="AT123">
        <v>27.420494822336085</v>
      </c>
      <c r="AU123">
        <v>27.232906096849955</v>
      </c>
      <c r="AV123">
        <v>25.077821471834898</v>
      </c>
      <c r="AW123">
        <v>23.136042506346072</v>
      </c>
      <c r="AX123">
        <v>29.626589197234793</v>
      </c>
      <c r="BG123">
        <v>1.76969696969697</v>
      </c>
      <c r="BH123">
        <v>33.685402451933314</v>
      </c>
      <c r="BI123">
        <v>41.241621205679991</v>
      </c>
      <c r="BN123">
        <v>1.74040404040404</v>
      </c>
      <c r="BO123">
        <v>23.69058205397986</v>
      </c>
      <c r="BP123">
        <v>22.330745180298777</v>
      </c>
      <c r="BQ123">
        <v>29.363649253428466</v>
      </c>
    </row>
    <row r="124" spans="1:69" ht="14.65" thickBot="1" x14ac:dyDescent="0.5">
      <c r="A124" s="2">
        <v>0.70099999999999996</v>
      </c>
      <c r="B124">
        <v>56000</v>
      </c>
      <c r="C124">
        <v>2.97070707070707</v>
      </c>
      <c r="D124" s="5">
        <f t="shared" si="32"/>
        <v>1</v>
      </c>
      <c r="F124" s="2">
        <v>389.97</v>
      </c>
      <c r="G124" s="3">
        <v>2.8454000000000001E-4</v>
      </c>
      <c r="H124">
        <v>1.3224874348833999E-2</v>
      </c>
      <c r="I124">
        <v>0.199688296939799</v>
      </c>
      <c r="J124">
        <v>0</v>
      </c>
      <c r="K124" s="13">
        <v>968.07579999999996</v>
      </c>
      <c r="L124">
        <f t="shared" si="33"/>
        <v>2875.8696240404033</v>
      </c>
      <c r="M124">
        <f t="shared" si="34"/>
        <v>1176.6619744614263</v>
      </c>
      <c r="N124" s="2">
        <f t="shared" si="35"/>
        <v>0.75183635697622853</v>
      </c>
      <c r="O124">
        <f t="shared" si="36"/>
        <v>2.0788426389423753</v>
      </c>
      <c r="P124" s="4">
        <f t="shared" si="37"/>
        <v>8.9977743824213224E-2</v>
      </c>
      <c r="Q124">
        <f t="shared" si="31"/>
        <v>3.1628538441319436</v>
      </c>
      <c r="R124">
        <f t="shared" si="58"/>
        <v>-2.4463074284087787</v>
      </c>
      <c r="S124" s="3">
        <f t="shared" si="57"/>
        <v>-0.99337721800790058</v>
      </c>
      <c r="T124" s="2">
        <f t="shared" si="38"/>
        <v>4.5277234376835472E-2</v>
      </c>
      <c r="U124" s="3">
        <f t="shared" si="39"/>
        <v>1.3634240939410588E-2</v>
      </c>
      <c r="V124">
        <v>2.97070707070707</v>
      </c>
      <c r="W124" s="13">
        <f t="shared" si="56"/>
        <v>43.524368340166774</v>
      </c>
      <c r="X124" s="2">
        <f t="shared" si="40"/>
        <v>-313.12735083632367</v>
      </c>
      <c r="Y124" s="3">
        <f t="shared" si="41"/>
        <v>-150.99333713720091</v>
      </c>
      <c r="Z124" s="13">
        <f t="shared" si="42"/>
        <v>3.320847458838645</v>
      </c>
      <c r="AA124" s="2">
        <f t="shared" si="43"/>
        <v>0.30112795375121398</v>
      </c>
      <c r="AB124" s="3">
        <f t="shared" si="44"/>
        <v>0.29249129290807319</v>
      </c>
      <c r="AC124">
        <f t="shared" si="45"/>
        <v>1.5134332925363272E-2</v>
      </c>
      <c r="AD124" s="2">
        <f t="shared" si="46"/>
        <v>125170408.81503145</v>
      </c>
      <c r="AE124">
        <f t="shared" si="47"/>
        <v>-900513436.72642565</v>
      </c>
      <c r="AF124" s="3">
        <f t="shared" si="48"/>
        <v>-434237151.70536786</v>
      </c>
      <c r="AG124">
        <f t="shared" si="49"/>
        <v>-1025683845.5414571</v>
      </c>
      <c r="AI124" s="2">
        <f t="shared" si="50"/>
        <v>-46632.004022566172</v>
      </c>
      <c r="AJ124" s="2">
        <f t="shared" si="51"/>
        <v>-25433.07640637576</v>
      </c>
      <c r="AK124">
        <f t="shared" si="52"/>
        <v>-559407560.52039933</v>
      </c>
      <c r="AL124" s="18">
        <v>1.6689999999999999E-4</v>
      </c>
      <c r="AM124" s="18">
        <f t="shared" si="53"/>
        <v>3368.4003984372021</v>
      </c>
      <c r="AO124" s="2">
        <f t="shared" si="54"/>
        <v>865.84936030827566</v>
      </c>
      <c r="AP124" s="3">
        <f t="shared" si="55"/>
        <v>829.22422526238302</v>
      </c>
      <c r="AR124">
        <v>1.8282828282828201</v>
      </c>
      <c r="AS124">
        <v>24.562057904760415</v>
      </c>
      <c r="AT124">
        <v>27.888318659365222</v>
      </c>
      <c r="AU124">
        <v>27.697529463650195</v>
      </c>
      <c r="AV124">
        <v>25.790160799998436</v>
      </c>
      <c r="AW124">
        <v>23.530768868839406</v>
      </c>
      <c r="AX124">
        <v>29.707748427915391</v>
      </c>
      <c r="BG124">
        <v>1.79898989898989</v>
      </c>
      <c r="BH124">
        <v>34.73137124095939</v>
      </c>
      <c r="BI124">
        <v>41.968191900852972</v>
      </c>
      <c r="BN124">
        <v>1.76969696969697</v>
      </c>
      <c r="BO124">
        <v>24.377956079642196</v>
      </c>
      <c r="BP124">
        <v>22.735501769992702</v>
      </c>
      <c r="BQ124">
        <v>29.510836301600087</v>
      </c>
    </row>
    <row r="125" spans="1:69" ht="14.65" thickBot="1" x14ac:dyDescent="0.5">
      <c r="A125">
        <v>0.70099999999999996</v>
      </c>
      <c r="B125">
        <v>56000</v>
      </c>
      <c r="C125">
        <v>3</v>
      </c>
      <c r="D125" s="5">
        <f t="shared" si="32"/>
        <v>1</v>
      </c>
      <c r="F125" s="2">
        <v>389.97</v>
      </c>
      <c r="G125" s="3">
        <v>2.8454000000000001E-4</v>
      </c>
      <c r="H125">
        <v>1.3221367194275E-2</v>
      </c>
      <c r="I125">
        <v>0.20167872175822399</v>
      </c>
      <c r="J125">
        <v>0</v>
      </c>
      <c r="K125" s="13">
        <v>968.07579999999996</v>
      </c>
      <c r="L125">
        <f t="shared" si="33"/>
        <v>2904.2273999999998</v>
      </c>
      <c r="M125">
        <f t="shared" si="34"/>
        <v>1199.9815492428736</v>
      </c>
      <c r="N125" s="2">
        <f t="shared" si="35"/>
        <v>0.75183635697622853</v>
      </c>
      <c r="O125">
        <f t="shared" si="36"/>
        <v>2.1051417995334396</v>
      </c>
      <c r="P125" s="4">
        <f t="shared" si="37"/>
        <v>8.9977743824213224E-2</v>
      </c>
      <c r="Q125">
        <f t="shared" si="31"/>
        <v>3.3051274325320641</v>
      </c>
      <c r="R125">
        <f t="shared" si="58"/>
        <v>-2.6191596326338233</v>
      </c>
      <c r="S125" s="3">
        <f t="shared" si="57"/>
        <v>-1.0845605060087895</v>
      </c>
      <c r="T125" s="2">
        <f t="shared" si="38"/>
        <v>4.4397349303924215E-2</v>
      </c>
      <c r="U125" s="3">
        <f t="shared" si="39"/>
        <v>1.3618901089114451E-2</v>
      </c>
      <c r="V125">
        <v>3</v>
      </c>
      <c r="W125" s="13">
        <f t="shared" si="56"/>
        <v>44.337012665695461</v>
      </c>
      <c r="X125" s="2">
        <f t="shared" si="40"/>
        <v>-335.25243297712939</v>
      </c>
      <c r="Y125" s="3">
        <f t="shared" si="41"/>
        <v>-164.85319691333601</v>
      </c>
      <c r="Z125" s="13">
        <f t="shared" si="42"/>
        <v>3.2599803033602242</v>
      </c>
      <c r="AA125" s="2">
        <f t="shared" si="43"/>
        <v>0.3067503196167321</v>
      </c>
      <c r="AB125" s="3">
        <f t="shared" si="44"/>
        <v>0.29763818505790246</v>
      </c>
      <c r="AC125">
        <f t="shared" si="45"/>
        <v>1.5266370899777153E-2</v>
      </c>
      <c r="AD125" s="2">
        <f t="shared" si="46"/>
        <v>128764767.01785979</v>
      </c>
      <c r="AE125">
        <f t="shared" si="47"/>
        <v>-973649301.76884258</v>
      </c>
      <c r="AF125" s="3">
        <f t="shared" si="48"/>
        <v>-478771171.45330584</v>
      </c>
      <c r="AG125">
        <f t="shared" si="49"/>
        <v>-1102414068.7867024</v>
      </c>
      <c r="AI125" s="2">
        <f t="shared" si="50"/>
        <v>-50120.490357393654</v>
      </c>
      <c r="AJ125" s="2">
        <f t="shared" si="51"/>
        <v>-27621.19969987946</v>
      </c>
      <c r="AK125">
        <f t="shared" si="52"/>
        <v>-607535938.47116554</v>
      </c>
      <c r="AL125" s="18">
        <v>1.6689999999999999E-4</v>
      </c>
      <c r="AM125" s="18">
        <f t="shared" si="53"/>
        <v>3339.2672947975502</v>
      </c>
      <c r="AO125" s="2">
        <f t="shared" si="54"/>
        <v>890.71284665540963</v>
      </c>
      <c r="AP125" s="3">
        <f t="shared" si="55"/>
        <v>851.70260419298427</v>
      </c>
      <c r="AR125">
        <v>1.8575757575757501</v>
      </c>
      <c r="AS125">
        <v>25.25233926452314</v>
      </c>
      <c r="AT125">
        <v>28.347196156915857</v>
      </c>
      <c r="AU125">
        <v>28.153267694550919</v>
      </c>
      <c r="AV125">
        <v>26.514956227749298</v>
      </c>
      <c r="AW125">
        <v>23.917946757397754</v>
      </c>
      <c r="AX125">
        <v>29.750966017966661</v>
      </c>
      <c r="BG125">
        <v>1.8282828282828201</v>
      </c>
      <c r="BH125">
        <v>35.794982104829934</v>
      </c>
      <c r="BI125">
        <v>42.684215469918499</v>
      </c>
      <c r="BN125">
        <v>1.79898989898989</v>
      </c>
      <c r="BO125">
        <v>25.077821471834898</v>
      </c>
      <c r="BP125">
        <v>23.136042506346072</v>
      </c>
      <c r="BQ125">
        <v>29.626589197234793</v>
      </c>
    </row>
    <row r="126" spans="1:69" x14ac:dyDescent="0.45">
      <c r="AR126">
        <v>1.8868686868686799</v>
      </c>
      <c r="AS126">
        <v>25.954466207717498</v>
      </c>
      <c r="AT126">
        <v>28.794901556032954</v>
      </c>
      <c r="AU126">
        <v>28.597910257429728</v>
      </c>
      <c r="AV126">
        <v>27.252189518103375</v>
      </c>
      <c r="AW126">
        <v>24.295698187902808</v>
      </c>
      <c r="AX126">
        <v>29.752697132359163</v>
      </c>
      <c r="BG126">
        <v>1.8575757575757501</v>
      </c>
      <c r="BH126">
        <v>36.876214310829226</v>
      </c>
      <c r="BI126">
        <v>43.386546299502974</v>
      </c>
      <c r="BN126">
        <v>1.8282828282828201</v>
      </c>
      <c r="BO126">
        <v>25.790160799998436</v>
      </c>
      <c r="BP126">
        <v>23.530768868839406</v>
      </c>
      <c r="BQ126">
        <v>29.707748427915391</v>
      </c>
    </row>
    <row r="127" spans="1:69" x14ac:dyDescent="0.45">
      <c r="AR127">
        <v>1.91616161616161</v>
      </c>
      <c r="AS127">
        <v>26.668421027767312</v>
      </c>
      <c r="AT127">
        <v>29.229028283154413</v>
      </c>
      <c r="AU127">
        <v>29.029067042543659</v>
      </c>
      <c r="AV127">
        <v>28.001842079155679</v>
      </c>
      <c r="AW127">
        <v>24.661992613911536</v>
      </c>
      <c r="AX127">
        <v>29.709191423468411</v>
      </c>
      <c r="BG127">
        <v>1.8868686868686799</v>
      </c>
      <c r="BH127">
        <v>37.975047775045951</v>
      </c>
      <c r="BI127">
        <v>44.071777774242413</v>
      </c>
      <c r="BN127">
        <v>1.8575757575757501</v>
      </c>
      <c r="BO127">
        <v>26.514956227749298</v>
      </c>
      <c r="BP127">
        <v>23.917946757397754</v>
      </c>
      <c r="BQ127">
        <v>29.750966017966661</v>
      </c>
    </row>
    <row r="128" spans="1:69" x14ac:dyDescent="0.45">
      <c r="AC128">
        <f>MIN(AC26:AC125)</f>
        <v>8.0811014776505184E-3</v>
      </c>
      <c r="AR128">
        <v>1.94545454545454</v>
      </c>
      <c r="AS128">
        <v>27.394185743426689</v>
      </c>
      <c r="AT128">
        <v>29.646978207238462</v>
      </c>
      <c r="AU128">
        <v>29.444157693150547</v>
      </c>
      <c r="AV128">
        <v>28.763895030598025</v>
      </c>
      <c r="AW128">
        <v>25.014637862357453</v>
      </c>
      <c r="AX128">
        <v>29.616484116059056</v>
      </c>
      <c r="BG128">
        <v>1.91616161616161</v>
      </c>
      <c r="BH128">
        <v>39.091462923346413</v>
      </c>
      <c r="BI128">
        <v>44.736226534601094</v>
      </c>
      <c r="BN128">
        <v>1.8868686868686799</v>
      </c>
      <c r="BO128">
        <v>27.252189518103375</v>
      </c>
      <c r="BP128">
        <v>24.295698187902808</v>
      </c>
      <c r="BQ128">
        <v>29.752697132359163</v>
      </c>
    </row>
    <row r="129" spans="44:69" x14ac:dyDescent="0.45">
      <c r="AR129">
        <v>1.97474747474747</v>
      </c>
      <c r="AS129">
        <v>28.131742170380541</v>
      </c>
      <c r="AT129">
        <v>30.045950424644005</v>
      </c>
      <c r="AU129">
        <v>29.840400467114154</v>
      </c>
      <c r="AV129">
        <v>29.538329278899567</v>
      </c>
      <c r="AW129">
        <v>25.351270670793379</v>
      </c>
      <c r="AX129">
        <v>29.470386825855307</v>
      </c>
      <c r="BG129">
        <v>1.94545454545454</v>
      </c>
      <c r="BH129">
        <v>40.225440603424744</v>
      </c>
      <c r="BI129">
        <v>45.375916034464446</v>
      </c>
      <c r="BN129">
        <v>1.91616161616161</v>
      </c>
      <c r="BO129">
        <v>28.001842079155679</v>
      </c>
      <c r="BP129">
        <v>24.661992613911536</v>
      </c>
      <c r="BQ129">
        <v>29.709191423468411</v>
      </c>
    </row>
    <row r="130" spans="44:69" x14ac:dyDescent="0.45">
      <c r="AR130">
        <v>2.0040404040404001</v>
      </c>
      <c r="AS130">
        <v>28.881071994011478</v>
      </c>
      <c r="AT130">
        <v>30.422929556762078</v>
      </c>
      <c r="AU130">
        <v>30.21480061459366</v>
      </c>
      <c r="AV130">
        <v>30.325125593712052</v>
      </c>
      <c r="AW130">
        <v>25.669346813518004</v>
      </c>
      <c r="AX130">
        <v>29.266478107050006</v>
      </c>
      <c r="BG130">
        <v>1.97474747474747</v>
      </c>
      <c r="BH130">
        <v>41.376962030389642</v>
      </c>
      <c r="BI130">
        <v>45.986559375938562</v>
      </c>
      <c r="BN130">
        <v>1.94545454545454</v>
      </c>
      <c r="BO130">
        <v>28.763895030598025</v>
      </c>
      <c r="BP130">
        <v>25.014637862357453</v>
      </c>
      <c r="BQ130">
        <v>29.616484116059056</v>
      </c>
    </row>
    <row r="131" spans="44:69" x14ac:dyDescent="0.45">
      <c r="AR131">
        <v>2.0333333333333301</v>
      </c>
      <c r="AS131">
        <v>29.642156839158204</v>
      </c>
      <c r="AT131">
        <v>30.774673545138828</v>
      </c>
      <c r="AU131">
        <v>30.564138256662485</v>
      </c>
      <c r="AV131">
        <v>31.124264681116117</v>
      </c>
      <c r="AW131">
        <v>25.966130803710886</v>
      </c>
      <c r="AX131">
        <v>29.000093724096164</v>
      </c>
      <c r="BG131">
        <v>2.0040404040404001</v>
      </c>
      <c r="BH131">
        <v>42.546008754204372</v>
      </c>
      <c r="BI131">
        <v>46.563541398395017</v>
      </c>
      <c r="BN131">
        <v>1.97474747474747</v>
      </c>
      <c r="BO131">
        <v>29.538329278899567</v>
      </c>
      <c r="BP131">
        <v>25.351270670793379</v>
      </c>
      <c r="BQ131">
        <v>29.470386825855307</v>
      </c>
    </row>
    <row r="132" spans="44:69" x14ac:dyDescent="0.45">
      <c r="AR132">
        <v>2.0626262626262601</v>
      </c>
      <c r="AS132">
        <v>30.414978334525411</v>
      </c>
      <c r="AT132">
        <v>31.097700928571602</v>
      </c>
      <c r="AU132">
        <v>30.884955749444202</v>
      </c>
      <c r="AV132">
        <v>31.935727251251684</v>
      </c>
      <c r="AW132">
        <v>26.238685158482287</v>
      </c>
      <c r="AX132">
        <v>28.666316643116282</v>
      </c>
      <c r="BG132">
        <v>2.0333333333333301</v>
      </c>
      <c r="BH132">
        <v>43.73256264118406</v>
      </c>
      <c r="BI132">
        <v>47.101899998406203</v>
      </c>
      <c r="BN132">
        <v>2.0040404040404001</v>
      </c>
      <c r="BO132">
        <v>30.325125593712052</v>
      </c>
      <c r="BP132">
        <v>25.669346813518004</v>
      </c>
      <c r="BQ132">
        <v>29.266478107050006</v>
      </c>
    </row>
    <row r="133" spans="44:69" x14ac:dyDescent="0.45">
      <c r="AR133">
        <v>2.0919191919191902</v>
      </c>
      <c r="AS133">
        <v>31.199518170616724</v>
      </c>
      <c r="AT133">
        <v>31.388277586400708</v>
      </c>
      <c r="AU133">
        <v>31.173544518095841</v>
      </c>
      <c r="AV133">
        <v>32.759494079147558</v>
      </c>
      <c r="AW133">
        <v>26.483859213525598</v>
      </c>
      <c r="AX133">
        <v>28.259966738256157</v>
      </c>
      <c r="BG133">
        <v>2.0626262626262601</v>
      </c>
      <c r="BH133">
        <v>44.936605864306614</v>
      </c>
      <c r="BI133">
        <v>47.59630665681901</v>
      </c>
      <c r="BN133">
        <v>2.0333333333333301</v>
      </c>
      <c r="BO133">
        <v>31.124264681116117</v>
      </c>
      <c r="BP133">
        <v>25.966130803710886</v>
      </c>
      <c r="BQ133">
        <v>29.000093724096164</v>
      </c>
    </row>
    <row r="134" spans="44:69" x14ac:dyDescent="0.45">
      <c r="AR134">
        <v>2.1212121212121202</v>
      </c>
      <c r="AS134">
        <v>31.995758150780294</v>
      </c>
      <c r="AT134">
        <v>31.642402931958028</v>
      </c>
      <c r="AU134">
        <v>31.425931344709735</v>
      </c>
      <c r="AV134">
        <v>33.595546058319307</v>
      </c>
      <c r="AW134">
        <v>26.698277473839589</v>
      </c>
      <c r="AX134">
        <v>27.775590208300141</v>
      </c>
      <c r="BG134">
        <v>2.0919191919191902</v>
      </c>
      <c r="BH134">
        <v>46.158120898870564</v>
      </c>
      <c r="BI134">
        <v>48.041046148819234</v>
      </c>
      <c r="BN134">
        <v>2.0626262626262601</v>
      </c>
      <c r="BO134">
        <v>31.935727251251684</v>
      </c>
      <c r="BP134">
        <v>26.238685158482287</v>
      </c>
      <c r="BQ134">
        <v>28.666316643116282</v>
      </c>
    </row>
    <row r="135" spans="44:69" x14ac:dyDescent="0.45">
      <c r="AR135">
        <v>2.1505050505050498</v>
      </c>
      <c r="AS135">
        <v>32.803680235420735</v>
      </c>
      <c r="AT135">
        <v>31.855795539874322</v>
      </c>
      <c r="AU135">
        <v>31.637864093947087</v>
      </c>
      <c r="AV135">
        <v>34.443864247191776</v>
      </c>
      <c r="AW135">
        <v>26.878327486768956</v>
      </c>
      <c r="AX135">
        <v>27.207448698857966</v>
      </c>
      <c r="BG135">
        <v>2.1212121212121202</v>
      </c>
      <c r="BH135">
        <v>47.397090521168927</v>
      </c>
      <c r="BI135">
        <v>48.42999541243838</v>
      </c>
      <c r="BN135">
        <v>2.0919191919191902</v>
      </c>
      <c r="BO135">
        <v>32.759494079147558</v>
      </c>
      <c r="BP135">
        <v>26.483859213525598</v>
      </c>
      <c r="BQ135">
        <v>28.259966738256157</v>
      </c>
    </row>
    <row r="136" spans="44:69" x14ac:dyDescent="0.45">
      <c r="AR136">
        <v>2.1797979797979798</v>
      </c>
      <c r="AS136">
        <v>33.62326657971176</v>
      </c>
      <c r="AT136">
        <v>32.02387819068398</v>
      </c>
      <c r="AU136">
        <v>31.804796859955392</v>
      </c>
      <c r="AV136">
        <v>35.304429908697351</v>
      </c>
      <c r="AW136">
        <v>27.020147223389611</v>
      </c>
      <c r="AX136">
        <v>26.549508125422264</v>
      </c>
      <c r="BG136">
        <v>2.1505050505050498</v>
      </c>
      <c r="BH136">
        <v>48.653497808652666</v>
      </c>
      <c r="BI136">
        <v>48.756601550558088</v>
      </c>
      <c r="BN136">
        <v>2.1212121212121202</v>
      </c>
      <c r="BO136">
        <v>33.595546058319307</v>
      </c>
      <c r="BP136">
        <v>26.698277473839589</v>
      </c>
      <c r="BQ136">
        <v>27.775590208300141</v>
      </c>
    </row>
    <row r="137" spans="44:69" x14ac:dyDescent="0.45">
      <c r="AR137">
        <v>2.2090909090909001</v>
      </c>
      <c r="AS137">
        <v>34.454499565275356</v>
      </c>
      <c r="AT137">
        <v>32.141762315904231</v>
      </c>
      <c r="AU137">
        <v>31.921874517861745</v>
      </c>
      <c r="AV137">
        <v>36.177224543539126</v>
      </c>
      <c r="AW137">
        <v>27.119611954044196</v>
      </c>
      <c r="AX137">
        <v>25.795427192588598</v>
      </c>
      <c r="BG137">
        <v>2.1797979797979798</v>
      </c>
      <c r="BH137">
        <v>49.927326140616465</v>
      </c>
      <c r="BI137">
        <v>49.013858941064314</v>
      </c>
      <c r="BN137">
        <v>2.1505050505050498</v>
      </c>
      <c r="BO137">
        <v>34.443864247191776</v>
      </c>
      <c r="BP137">
        <v>26.878327486768956</v>
      </c>
      <c r="BQ137">
        <v>27.207448698857966</v>
      </c>
    </row>
    <row r="138" spans="44:69" x14ac:dyDescent="0.45">
      <c r="AR138">
        <v>2.2383838383838301</v>
      </c>
      <c r="AS138">
        <v>35.297361826375422</v>
      </c>
      <c r="AT138">
        <v>32.204231826503843</v>
      </c>
      <c r="AU138">
        <v>31.983916662874009</v>
      </c>
      <c r="AV138">
        <v>37.062229917694197</v>
      </c>
      <c r="AW138">
        <v>27.172320603612619</v>
      </c>
      <c r="AX138">
        <v>24.93854560471955</v>
      </c>
      <c r="BG138">
        <v>2.2090909090909001</v>
      </c>
      <c r="BH138">
        <v>51.218559198778145</v>
      </c>
      <c r="BI138">
        <v>49.194285429403159</v>
      </c>
      <c r="BN138">
        <v>2.1797979797979798</v>
      </c>
      <c r="BO138">
        <v>35.304429908697351</v>
      </c>
      <c r="BP138">
        <v>27.020147223389611</v>
      </c>
      <c r="BQ138">
        <v>26.549508125422264</v>
      </c>
    </row>
    <row r="139" spans="44:69" x14ac:dyDescent="0.45">
      <c r="AR139">
        <v>2.2676767676767602</v>
      </c>
      <c r="AS139">
        <v>36.151836271198874</v>
      </c>
      <c r="AT139">
        <v>32.205726307410998</v>
      </c>
      <c r="AU139">
        <v>31.985400919758206</v>
      </c>
      <c r="AV139">
        <v>37.959428084758819</v>
      </c>
      <c r="AW139">
        <v>27.173581571878028</v>
      </c>
      <c r="AX139">
        <v>23.971871963329132</v>
      </c>
      <c r="BG139">
        <v>2.2383838383838301</v>
      </c>
      <c r="BH139">
        <v>52.527180967391409</v>
      </c>
      <c r="BI139">
        <v>49.289897577388956</v>
      </c>
      <c r="BN139">
        <v>2.2090909090909001</v>
      </c>
      <c r="BO139">
        <v>36.177224543539126</v>
      </c>
      <c r="BP139">
        <v>27.119611954044196</v>
      </c>
      <c r="BQ139">
        <v>25.795427192588598</v>
      </c>
    </row>
    <row r="140" spans="44:69" x14ac:dyDescent="0.45">
      <c r="AR140">
        <v>2.2969696969696898</v>
      </c>
      <c r="AS140">
        <v>37.017906098762253</v>
      </c>
      <c r="AT140">
        <v>32.140323560448387</v>
      </c>
      <c r="AU140">
        <v>31.920445605200644</v>
      </c>
      <c r="AV140">
        <v>38.868801403700367</v>
      </c>
      <c r="AW140">
        <v>27.118398004128323</v>
      </c>
      <c r="AX140">
        <v>22.888071346448626</v>
      </c>
      <c r="BG140">
        <v>2.2676767676767602</v>
      </c>
      <c r="BH140">
        <v>53.853175732704699</v>
      </c>
      <c r="BI140">
        <v>49.29218494170933</v>
      </c>
      <c r="BN140">
        <v>2.2383838383838301</v>
      </c>
      <c r="BO140">
        <v>37.062229917694197</v>
      </c>
      <c r="BP140">
        <v>27.172320603612619</v>
      </c>
      <c r="BQ140">
        <v>24.93854560471955</v>
      </c>
    </row>
    <row r="141" spans="44:69" x14ac:dyDescent="0.45">
      <c r="AR141">
        <v>2.3262626262626198</v>
      </c>
      <c r="AS141">
        <v>37.895554811987616</v>
      </c>
      <c r="AT141">
        <v>32.001721477817391</v>
      </c>
      <c r="AU141">
        <v>31.782791725298992</v>
      </c>
      <c r="AV141">
        <v>39.790332552586996</v>
      </c>
      <c r="AW141">
        <v>27.001452496908424</v>
      </c>
      <c r="AX141">
        <v>21.679452565232019</v>
      </c>
      <c r="BG141">
        <v>2.2969696969696898</v>
      </c>
      <c r="BH141">
        <v>55.196528081651188</v>
      </c>
      <c r="BI141">
        <v>49.192083355171441</v>
      </c>
      <c r="BN141">
        <v>2.2676767676767602</v>
      </c>
      <c r="BO141">
        <v>37.959428084758819</v>
      </c>
      <c r="BP141">
        <v>27.173581571878028</v>
      </c>
      <c r="BQ141">
        <v>23.971871963329132</v>
      </c>
    </row>
    <row r="142" spans="44:69" x14ac:dyDescent="0.45">
      <c r="AR142">
        <v>2.3555555555555499</v>
      </c>
      <c r="AS142">
        <v>38.784766227429408</v>
      </c>
      <c r="AT142">
        <v>31.783219227989441</v>
      </c>
      <c r="AU142">
        <v>31.565784290164459</v>
      </c>
      <c r="AV142">
        <v>40.724004538800877</v>
      </c>
      <c r="AW142">
        <v>26.817091223616092</v>
      </c>
      <c r="AX142">
        <v>20.337955093048318</v>
      </c>
      <c r="BG142">
        <v>2.3262626262626198</v>
      </c>
      <c r="BH142">
        <v>56.557222899779546</v>
      </c>
      <c r="BI142">
        <v>48.979947183326097</v>
      </c>
      <c r="BN142">
        <v>2.2969696969696898</v>
      </c>
      <c r="BO142">
        <v>38.868801403700367</v>
      </c>
      <c r="BP142">
        <v>27.118398004128323</v>
      </c>
      <c r="BQ142">
        <v>22.888071346448626</v>
      </c>
    </row>
    <row r="143" spans="44:69" x14ac:dyDescent="0.45">
      <c r="AR143">
        <v>2.3848484848484799</v>
      </c>
      <c r="AS143">
        <v>39.685524482100874</v>
      </c>
      <c r="AT143">
        <v>31.477697735597008</v>
      </c>
      <c r="AU143">
        <v>31.262352927353486</v>
      </c>
      <c r="AV143">
        <v>41.669800706205919</v>
      </c>
      <c r="AW143">
        <v>26.559307464409976</v>
      </c>
      <c r="AX143">
        <v>18.855135662297165</v>
      </c>
      <c r="BG143">
        <v>2.3555555555555499</v>
      </c>
      <c r="BH143">
        <v>57.935245368443582</v>
      </c>
      <c r="BI143">
        <v>48.645520528702868</v>
      </c>
      <c r="BN143">
        <v>2.3262626262626198</v>
      </c>
      <c r="BO143">
        <v>39.790332552586996</v>
      </c>
      <c r="BP143">
        <v>27.001452496908424</v>
      </c>
      <c r="BQ143">
        <v>21.679452565232019</v>
      </c>
    </row>
    <row r="144" spans="44:69" x14ac:dyDescent="0.45">
      <c r="AR144">
        <v>2.4141414141414099</v>
      </c>
      <c r="AS144">
        <v>40.597814037790322</v>
      </c>
      <c r="AT144">
        <v>31.077599436650438</v>
      </c>
      <c r="AU144">
        <v>30.864991775582951</v>
      </c>
      <c r="AV144">
        <v>42.627704739679842</v>
      </c>
      <c r="AW144">
        <v>26.221724524673807</v>
      </c>
      <c r="AX144">
        <v>17.222154524179267</v>
      </c>
      <c r="BG144">
        <v>2.3848484848484799</v>
      </c>
      <c r="BH144">
        <v>59.330580961310808</v>
      </c>
      <c r="BI144">
        <v>48.177907354482684</v>
      </c>
      <c r="BN144">
        <v>2.3555555555555499</v>
      </c>
      <c r="BO144">
        <v>40.724004538800877</v>
      </c>
      <c r="BP144">
        <v>26.817091223616092</v>
      </c>
      <c r="BQ144">
        <v>20.337955093048318</v>
      </c>
    </row>
    <row r="145" spans="44:69" x14ac:dyDescent="0.45">
      <c r="AR145">
        <v>2.44343434343434</v>
      </c>
      <c r="AS145">
        <v>41.52161968325094</v>
      </c>
      <c r="AT145">
        <v>30.574907290142207</v>
      </c>
      <c r="AU145">
        <v>30.365738639919947</v>
      </c>
      <c r="AV145">
        <v>43.597700667413491</v>
      </c>
      <c r="AW145">
        <v>25.797578026057487</v>
      </c>
      <c r="AX145">
        <v>15.42976136664025</v>
      </c>
      <c r="BG145">
        <v>2.4141414141414099</v>
      </c>
      <c r="BH145">
        <v>60.743215440242309</v>
      </c>
      <c r="BI145">
        <v>47.565540499026937</v>
      </c>
      <c r="BN145">
        <v>2.3848484848484799</v>
      </c>
      <c r="BO145">
        <v>41.669800706205919</v>
      </c>
      <c r="BP145">
        <v>26.559307464409976</v>
      </c>
      <c r="BQ145">
        <v>18.855135662297165</v>
      </c>
    </row>
    <row r="146" spans="44:69" x14ac:dyDescent="0.45">
      <c r="AR146">
        <v>2.47272727272727</v>
      </c>
      <c r="AS146">
        <v>42.456926534562001</v>
      </c>
      <c r="AT146">
        <v>29.96112302683207</v>
      </c>
      <c r="AU146">
        <v>29.756153389371022</v>
      </c>
      <c r="AV146">
        <v>44.579772861290103</v>
      </c>
      <c r="AW146">
        <v>25.279697553889559</v>
      </c>
      <c r="AX146">
        <v>13.468280885700974</v>
      </c>
      <c r="BG146">
        <v>2.44343434343434</v>
      </c>
      <c r="BH146">
        <v>62.17313485065948</v>
      </c>
      <c r="BI146">
        <v>46.796149552277001</v>
      </c>
      <c r="BN146">
        <v>2.4141414141414099</v>
      </c>
      <c r="BO146">
        <v>42.627704739679842</v>
      </c>
      <c r="BP146">
        <v>26.221724524673807</v>
      </c>
      <c r="BQ146">
        <v>17.222154524179267</v>
      </c>
    </row>
    <row r="147" spans="44:69" x14ac:dyDescent="0.45">
      <c r="AR147">
        <v>2.5020202020202</v>
      </c>
      <c r="AS147">
        <v>43.403720033946882</v>
      </c>
      <c r="AT147">
        <v>29.227244615741188</v>
      </c>
      <c r="AU147">
        <v>29.027295577532282</v>
      </c>
      <c r="AV147">
        <v>45.573906035644228</v>
      </c>
      <c r="AW147">
        <v>24.660487644531628</v>
      </c>
      <c r="AX147">
        <v>11.327598005375965</v>
      </c>
      <c r="BG147">
        <v>2.47272727272727</v>
      </c>
      <c r="BH147">
        <v>63.620325516442975</v>
      </c>
      <c r="BI147">
        <v>45.856727564627789</v>
      </c>
      <c r="BN147">
        <v>2.44343434343434</v>
      </c>
      <c r="BO147">
        <v>43.597700667413491</v>
      </c>
      <c r="BP147">
        <v>25.797578026057487</v>
      </c>
      <c r="BQ147">
        <v>15.42976136664025</v>
      </c>
    </row>
    <row r="148" spans="44:69" x14ac:dyDescent="0.45">
      <c r="AR148">
        <v>2.5313131313131301</v>
      </c>
      <c r="AS148">
        <v>44.361985947306742</v>
      </c>
      <c r="AT148">
        <v>28.363742928615412</v>
      </c>
      <c r="AU148">
        <v>28.169701266695391</v>
      </c>
      <c r="AV148">
        <v>46.580085244672084</v>
      </c>
      <c r="AW148">
        <v>23.931908096019257</v>
      </c>
      <c r="AX148">
        <v>8.9971427413751517</v>
      </c>
      <c r="BG148">
        <v>2.5020202020202</v>
      </c>
      <c r="BH148">
        <v>65.084774034447932</v>
      </c>
      <c r="BI148">
        <v>44.733496558472993</v>
      </c>
      <c r="BN148">
        <v>2.47272727272727</v>
      </c>
      <c r="BO148">
        <v>44.579772861290103</v>
      </c>
      <c r="BP148">
        <v>25.279697553889559</v>
      </c>
      <c r="BQ148">
        <v>13.468280885700974</v>
      </c>
    </row>
    <row r="149" spans="44:69" x14ac:dyDescent="0.45">
      <c r="AR149">
        <v>2.5606060606060601</v>
      </c>
      <c r="AS149">
        <v>45.331710360664751</v>
      </c>
      <c r="AT149">
        <v>27.360537582350908</v>
      </c>
      <c r="AU149">
        <v>27.173359035539711</v>
      </c>
      <c r="AV149">
        <v>47.598295878697989</v>
      </c>
      <c r="AW149">
        <v>23.085453585108578</v>
      </c>
      <c r="AX149">
        <v>6.465874703772597</v>
      </c>
      <c r="BG149">
        <v>2.5313131313131301</v>
      </c>
      <c r="BH149">
        <v>66.566467268724836</v>
      </c>
      <c r="BI149">
        <v>43.411871812208929</v>
      </c>
      <c r="BN149">
        <v>2.5020202020202</v>
      </c>
      <c r="BO149">
        <v>45.573906035644228</v>
      </c>
      <c r="BP149">
        <v>24.660487644531628</v>
      </c>
      <c r="BQ149">
        <v>11.327598005375965</v>
      </c>
    </row>
    <row r="150" spans="44:69" x14ac:dyDescent="0.45">
      <c r="AR150">
        <v>2.5898989898989901</v>
      </c>
      <c r="AS150">
        <v>46.312879675723423</v>
      </c>
      <c r="AT150">
        <v>26.206971939107522</v>
      </c>
      <c r="AU150">
        <v>26.027685150274532</v>
      </c>
      <c r="AV150">
        <v>48.628523659509597</v>
      </c>
      <c r="AW150">
        <v>22.112132573621974</v>
      </c>
      <c r="AX150">
        <v>3.7222672338199509</v>
      </c>
      <c r="BG150">
        <v>2.5606060606060601</v>
      </c>
      <c r="BH150">
        <v>68.065392344480244</v>
      </c>
      <c r="BI150">
        <v>41.876424886076343</v>
      </c>
      <c r="BN150">
        <v>2.5313131313131301</v>
      </c>
      <c r="BO150">
        <v>46.580085244672084</v>
      </c>
      <c r="BP150">
        <v>23.931908096019257</v>
      </c>
      <c r="BQ150">
        <v>8.9971427413751517</v>
      </c>
    </row>
    <row r="151" spans="44:69" x14ac:dyDescent="0.45">
      <c r="AR151">
        <v>2.61919191919191</v>
      </c>
      <c r="AS151">
        <v>47.305480604709402</v>
      </c>
      <c r="AT151">
        <v>24.891787243568089</v>
      </c>
      <c r="AU151">
        <v>24.721497878830242</v>
      </c>
      <c r="AV151">
        <v>49.670754634944871</v>
      </c>
      <c r="AW151">
        <v>21.002445486760575</v>
      </c>
      <c r="AX151">
        <v>0.75429117007212099</v>
      </c>
      <c r="BG151">
        <v>2.5898989898989901</v>
      </c>
      <c r="BH151">
        <v>69.581536641860268</v>
      </c>
      <c r="BI151">
        <v>40.110845358808547</v>
      </c>
      <c r="BN151">
        <v>2.5606060606060601</v>
      </c>
      <c r="BO151">
        <v>47.598295878697989</v>
      </c>
      <c r="BP151">
        <v>23.085453585108578</v>
      </c>
      <c r="BQ151">
        <v>6.465874703772597</v>
      </c>
    </row>
    <row r="152" spans="44:69" x14ac:dyDescent="0.45">
      <c r="AR152">
        <v>2.64848484848484</v>
      </c>
      <c r="AS152">
        <v>48.309500164612707</v>
      </c>
      <c r="AT152">
        <v>23.403095876530177</v>
      </c>
      <c r="AU152">
        <v>23.242990927427215</v>
      </c>
      <c r="AV152">
        <v>50.724975172843344</v>
      </c>
      <c r="AW152">
        <v>19.746362145822335</v>
      </c>
      <c r="AX152">
        <v>-2.4506017610222979</v>
      </c>
      <c r="BG152">
        <v>2.61919191919191</v>
      </c>
      <c r="BH152">
        <v>71.11488778962682</v>
      </c>
      <c r="BI152">
        <v>38.097901243646099</v>
      </c>
      <c r="BN152">
        <v>2.5898989898989901</v>
      </c>
      <c r="BO152">
        <v>48.628523659509597</v>
      </c>
      <c r="BP152">
        <v>22.112132573621974</v>
      </c>
      <c r="BQ152">
        <v>3.7222672338199509</v>
      </c>
    </row>
    <row r="153" spans="44:69" x14ac:dyDescent="0.45">
      <c r="AR153">
        <v>2.67777777777777</v>
      </c>
      <c r="AS153">
        <v>49.324925670975645</v>
      </c>
      <c r="AT153">
        <v>21.728353703758014</v>
      </c>
      <c r="AU153">
        <v>21.579705978594433</v>
      </c>
      <c r="AV153">
        <v>51.79117195452443</v>
      </c>
      <c r="AW153">
        <v>18.333298437545825</v>
      </c>
      <c r="AX153">
        <v>-5.9054959348996174</v>
      </c>
      <c r="BG153">
        <v>2.64848484848484</v>
      </c>
      <c r="BH153">
        <v>72.665433658722193</v>
      </c>
      <c r="BI153">
        <v>35.819398051862066</v>
      </c>
      <c r="BN153">
        <v>2.61919191919191</v>
      </c>
      <c r="BO153">
        <v>49.670754634944871</v>
      </c>
      <c r="BP153">
        <v>21.002445486760575</v>
      </c>
      <c r="BQ153">
        <v>0.75429117007212099</v>
      </c>
    </row>
    <row r="154" spans="44:69" x14ac:dyDescent="0.45">
      <c r="AR154">
        <v>2.7070707070707001</v>
      </c>
      <c r="AS154">
        <v>50.351744731310546</v>
      </c>
      <c r="AT154">
        <v>19.85433149873861</v>
      </c>
      <c r="AU154">
        <v>19.718504309427868</v>
      </c>
      <c r="AV154">
        <v>52.869331967876079</v>
      </c>
      <c r="AW154">
        <v>16.752092202060702</v>
      </c>
      <c r="AX154">
        <v>-9.6240292039096573</v>
      </c>
      <c r="BG154">
        <v>2.67777777777777</v>
      </c>
      <c r="BH154">
        <v>74.23316235581369</v>
      </c>
      <c r="BI154">
        <v>33.256136471545858</v>
      </c>
      <c r="BN154">
        <v>2.64848484848484</v>
      </c>
      <c r="BO154">
        <v>50.724975172843344</v>
      </c>
      <c r="BP154">
        <v>19.746362145822335</v>
      </c>
      <c r="BQ154">
        <v>-2.4506017610222979</v>
      </c>
    </row>
    <row r="155" spans="44:69" x14ac:dyDescent="0.45">
      <c r="AR155">
        <v>2.7363636363636301</v>
      </c>
      <c r="AS155">
        <v>51.389945238266712</v>
      </c>
      <c r="AT155">
        <v>17.7670854177317</v>
      </c>
      <c r="AU155">
        <v>17.64553746862611</v>
      </c>
      <c r="AV155">
        <v>53.959442500180053</v>
      </c>
      <c r="AW155">
        <v>14.990978321211125</v>
      </c>
      <c r="AX155">
        <v>-13.620410662445545</v>
      </c>
      <c r="BG155">
        <v>2.7070707070707001</v>
      </c>
      <c r="BH155">
        <v>75.818062216815648</v>
      </c>
      <c r="BI155">
        <v>30.387868628959442</v>
      </c>
      <c r="BN155">
        <v>2.67777777777777</v>
      </c>
      <c r="BO155">
        <v>51.79117195452443</v>
      </c>
      <c r="BP155">
        <v>18.333298437545825</v>
      </c>
      <c r="BQ155">
        <v>-5.9054959348996174</v>
      </c>
    </row>
    <row r="156" spans="44:69" x14ac:dyDescent="0.45">
      <c r="AR156">
        <v>2.7656565656565602</v>
      </c>
      <c r="AS156">
        <v>52.439515362593781</v>
      </c>
      <c r="AT156">
        <v>15.45192650522606</v>
      </c>
      <c r="AU156">
        <v>15.346216990565528</v>
      </c>
      <c r="AV156">
        <v>55.061491130723475</v>
      </c>
      <c r="AW156">
        <v>13.037562988784488</v>
      </c>
      <c r="AX156">
        <v>-17.909438807057832</v>
      </c>
      <c r="BG156">
        <v>2.7363636363636301</v>
      </c>
      <c r="BH156">
        <v>77.420121800465751</v>
      </c>
      <c r="BI156">
        <v>27.193252899390412</v>
      </c>
      <c r="BN156">
        <v>2.7070707070707001</v>
      </c>
      <c r="BO156">
        <v>52.869331967876079</v>
      </c>
      <c r="BP156">
        <v>16.752092202060702</v>
      </c>
      <c r="BQ156">
        <v>-9.6240292039096573</v>
      </c>
    </row>
    <row r="157" spans="44:69" x14ac:dyDescent="0.45">
      <c r="AR157">
        <v>2.7949494949494902</v>
      </c>
      <c r="AS157">
        <v>53.500443545971301</v>
      </c>
      <c r="AT157">
        <v>12.893389207647866</v>
      </c>
      <c r="AU157">
        <v>12.8051831244123</v>
      </c>
      <c r="AV157">
        <v>56.175465723269866</v>
      </c>
      <c r="AW157">
        <v>10.878797143952886</v>
      </c>
      <c r="AX157">
        <v>-22.506520096437193</v>
      </c>
      <c r="BG157">
        <v>2.7656565656565602</v>
      </c>
      <c r="BH157">
        <v>79.039329881936709</v>
      </c>
      <c r="BI157">
        <v>23.649807234002189</v>
      </c>
      <c r="BN157">
        <v>2.7363636363636301</v>
      </c>
      <c r="BO157">
        <v>53.959442500180053</v>
      </c>
      <c r="BP157">
        <v>14.990978321211125</v>
      </c>
      <c r="BQ157">
        <v>-13.620410662445545</v>
      </c>
    </row>
    <row r="158" spans="44:69" x14ac:dyDescent="0.45">
      <c r="AR158">
        <v>2.8242424242424198</v>
      </c>
      <c r="AS158">
        <v>54.572718493789829</v>
      </c>
      <c r="AT158">
        <v>10.075198872897586</v>
      </c>
      <c r="AU158">
        <v>10.006272556000974</v>
      </c>
      <c r="AV158">
        <v>57.30135441847932</v>
      </c>
      <c r="AW158">
        <v>8.5009490490073389</v>
      </c>
      <c r="AX158">
        <v>-27.427687916160398</v>
      </c>
      <c r="BG158">
        <v>2.7949494949494902</v>
      </c>
      <c r="BH158">
        <v>80.675675446511306</v>
      </c>
      <c r="BI158">
        <v>19.733860968773435</v>
      </c>
      <c r="BN158">
        <v>2.7656565656565602</v>
      </c>
      <c r="BO158">
        <v>55.061491130723475</v>
      </c>
      <c r="BP158">
        <v>13.037562988784488</v>
      </c>
      <c r="BQ158">
        <v>-17.909438807057832</v>
      </c>
    </row>
    <row r="159" spans="44:69" x14ac:dyDescent="0.45">
      <c r="AR159">
        <v>2.8535353535353498</v>
      </c>
      <c r="AS159">
        <v>55.656329167882106</v>
      </c>
      <c r="AT159">
        <v>6.9802382130215781</v>
      </c>
      <c r="AU159">
        <v>6.9324850999412213</v>
      </c>
      <c r="AV159">
        <v>58.439145626276215</v>
      </c>
      <c r="AW159">
        <v>5.8895759922369564</v>
      </c>
      <c r="AX159">
        <v>-32.689621953100932</v>
      </c>
      <c r="BG159">
        <v>2.8242424242424198</v>
      </c>
      <c r="BH159">
        <v>82.329147683385813</v>
      </c>
      <c r="BI159">
        <v>15.420505081206255</v>
      </c>
      <c r="BN159">
        <v>2.7949494949494902</v>
      </c>
      <c r="BO159">
        <v>56.175465723269866</v>
      </c>
      <c r="BP159">
        <v>10.878797143952886</v>
      </c>
      <c r="BQ159">
        <v>-22.506520096437193</v>
      </c>
    </row>
    <row r="160" spans="44:69" x14ac:dyDescent="0.45">
      <c r="AR160">
        <v>2.8828282828282799</v>
      </c>
      <c r="AS160">
        <v>56.751264779298879</v>
      </c>
      <c r="AT160">
        <v>3.590512707056317</v>
      </c>
      <c r="AU160">
        <v>3.5659493391476604</v>
      </c>
      <c r="AV160">
        <v>59.588828018263825</v>
      </c>
      <c r="AW160">
        <v>3.0294950965787675</v>
      </c>
      <c r="AX160">
        <v>-38.309667984417224</v>
      </c>
      <c r="BG160">
        <v>2.8535353535353498</v>
      </c>
      <c r="BH160">
        <v>83.999735979541441</v>
      </c>
      <c r="BI160">
        <v>10.683540860069677</v>
      </c>
      <c r="BN160">
        <v>2.8242424242424198</v>
      </c>
      <c r="BO160">
        <v>57.30135441847932</v>
      </c>
      <c r="BP160">
        <v>8.5009490490073389</v>
      </c>
      <c r="BQ160">
        <v>-27.427687916160398</v>
      </c>
    </row>
    <row r="161" spans="44:69" x14ac:dyDescent="0.45">
      <c r="AR161">
        <v>2.9121212121212099</v>
      </c>
      <c r="AS161">
        <v>57.857514781103774</v>
      </c>
      <c r="AT161">
        <v>-0.11288507918848539</v>
      </c>
      <c r="AU161">
        <v>-0.11211281128199524</v>
      </c>
      <c r="AV161">
        <v>60.750390520158966</v>
      </c>
      <c r="AW161">
        <v>-9.5246785565284556E-2</v>
      </c>
      <c r="AX161">
        <v>-44.305858086038668</v>
      </c>
      <c r="BG161">
        <v>2.8828282828282799</v>
      </c>
      <c r="BH161">
        <v>85.687429913781358</v>
      </c>
      <c r="BI161">
        <v>5.4954269530338404</v>
      </c>
      <c r="BN161">
        <v>2.8535353535353498</v>
      </c>
      <c r="BO161">
        <v>58.439145626276215</v>
      </c>
      <c r="BP161">
        <v>5.8895759922369564</v>
      </c>
      <c r="BQ161">
        <v>-32.689621953100932</v>
      </c>
    </row>
    <row r="162" spans="44:69" x14ac:dyDescent="0.45">
      <c r="AR162">
        <v>2.9414141414141399</v>
      </c>
      <c r="AS162">
        <v>58.975068861266038</v>
      </c>
      <c r="AT162">
        <v>-4.1498122799095913</v>
      </c>
      <c r="AU162">
        <v>-4.1214226391814153</v>
      </c>
      <c r="AV162">
        <v>61.923822304329342</v>
      </c>
      <c r="AW162">
        <v>-3.5014041111737182</v>
      </c>
      <c r="AX162">
        <v>-50.696931265577128</v>
      </c>
      <c r="BG162">
        <v>2.9121212121212099</v>
      </c>
      <c r="BH162">
        <v>87.392219250852747</v>
      </c>
      <c r="BI162">
        <v>-0.17277524336527347</v>
      </c>
      <c r="BN162">
        <v>2.8828282828282799</v>
      </c>
      <c r="BO162">
        <v>59.588828018263825</v>
      </c>
      <c r="BP162">
        <v>3.0294950965787675</v>
      </c>
      <c r="BQ162">
        <v>-38.309667984417224</v>
      </c>
    </row>
    <row r="163" spans="44:69" x14ac:dyDescent="0.45">
      <c r="AR163">
        <v>2.97070707070707</v>
      </c>
      <c r="AS163">
        <v>60.103916935643177</v>
      </c>
      <c r="AT163">
        <v>-8.5411136464260942</v>
      </c>
      <c r="AU163">
        <v>-8.4826822930334416</v>
      </c>
      <c r="AV163">
        <v>63.109112782425342</v>
      </c>
      <c r="AW163">
        <v>-7.2065646391720168</v>
      </c>
      <c r="AX163">
        <v>-57.502354524603987</v>
      </c>
      <c r="BG163">
        <v>2.9414141414141399</v>
      </c>
      <c r="BH163">
        <v>89.114093935740243</v>
      </c>
      <c r="BI163">
        <v>-6.3514578874008949</v>
      </c>
      <c r="BN163">
        <v>2.9121212121212099</v>
      </c>
      <c r="BO163">
        <v>60.750390520158966</v>
      </c>
      <c r="BP163">
        <v>-9.5246785565284556E-2</v>
      </c>
      <c r="BQ163">
        <v>-44.305858086038668</v>
      </c>
    </row>
    <row r="164" spans="44:69" x14ac:dyDescent="0.45">
      <c r="AR164">
        <v>3</v>
      </c>
      <c r="AS164">
        <v>61.244049141088809</v>
      </c>
      <c r="AT164">
        <v>-13.308660618673644</v>
      </c>
      <c r="AU164">
        <v>-13.21761358616893</v>
      </c>
      <c r="AV164">
        <v>64.306251598143248</v>
      </c>
      <c r="AW164">
        <v>-11.229182397005887</v>
      </c>
      <c r="AX164">
        <v>-64.742344355236568</v>
      </c>
      <c r="BG164">
        <v>2.97070707070707</v>
      </c>
      <c r="BH164">
        <v>90.853044088089661</v>
      </c>
      <c r="BI164">
        <v>-13.072524725856344</v>
      </c>
      <c r="BN164">
        <v>2.9414141414141399</v>
      </c>
      <c r="BO164">
        <v>61.923822304329342</v>
      </c>
      <c r="BP164">
        <v>-3.5014041111737182</v>
      </c>
      <c r="BQ164">
        <v>-50.696931265577128</v>
      </c>
    </row>
    <row r="165" spans="44:69" x14ac:dyDescent="0.45">
      <c r="BG165">
        <v>3</v>
      </c>
      <c r="BH165">
        <v>92.609059996791942</v>
      </c>
      <c r="BI165">
        <v>-20.369450894549363</v>
      </c>
      <c r="BN165">
        <v>2.97070707070707</v>
      </c>
      <c r="BO165">
        <v>63.109112782425342</v>
      </c>
      <c r="BP165">
        <v>-7.2065646391720168</v>
      </c>
      <c r="BQ165">
        <v>-57.502354524603987</v>
      </c>
    </row>
    <row r="166" spans="44:69" x14ac:dyDescent="0.45">
      <c r="BN166">
        <v>3</v>
      </c>
      <c r="BO166">
        <v>64.306251598143248</v>
      </c>
      <c r="BP166">
        <v>-11.229182397005887</v>
      </c>
      <c r="BQ166">
        <v>-64.742344355236568</v>
      </c>
    </row>
  </sheetData>
  <mergeCells count="1">
    <mergeCell ref="AI24:AJ24"/>
  </mergeCells>
  <conditionalFormatting sqref="AB26:AB12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6:AD1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6:AE1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6:AF1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6:AJ1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6:AP12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6:AQ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9B4C-02FA-4558-BB89-AD59F4F5C9CB}">
  <dimension ref="A23:AU128"/>
  <sheetViews>
    <sheetView topLeftCell="F1" zoomScale="22" zoomScaleNormal="70" workbookViewId="0">
      <selection activeCell="AU50" sqref="AU50:AU61"/>
    </sheetView>
  </sheetViews>
  <sheetFormatPr defaultRowHeight="14.25" x14ac:dyDescent="0.45"/>
  <cols>
    <col min="7" max="7" width="12" bestFit="1" customWidth="1"/>
    <col min="11" max="11" width="12" bestFit="1" customWidth="1"/>
    <col min="23" max="23" width="15.53125" bestFit="1" customWidth="1"/>
    <col min="24" max="24" width="14.265625" bestFit="1" customWidth="1"/>
    <col min="25" max="25" width="13.46484375" bestFit="1" customWidth="1"/>
    <col min="26" max="26" width="11.19921875" bestFit="1" customWidth="1"/>
    <col min="28" max="28" width="12" bestFit="1" customWidth="1"/>
    <col min="29" max="29" width="11.06640625" bestFit="1" customWidth="1"/>
    <col min="30" max="30" width="14.53125" bestFit="1" customWidth="1"/>
    <col min="31" max="31" width="19.265625" bestFit="1" customWidth="1"/>
    <col min="32" max="32" width="19.59765625" bestFit="1" customWidth="1"/>
    <col min="33" max="33" width="14.59765625" bestFit="1" customWidth="1"/>
    <col min="34" max="34" width="4.53125" customWidth="1"/>
    <col min="35" max="35" width="13.06640625" bestFit="1" customWidth="1"/>
    <col min="36" max="36" width="15.46484375" customWidth="1"/>
    <col min="37" max="37" width="13" bestFit="1" customWidth="1"/>
    <col min="41" max="41" width="9.59765625" bestFit="1" customWidth="1"/>
    <col min="42" max="42" width="13.19921875" bestFit="1" customWidth="1"/>
    <col min="43" max="43" width="10" bestFit="1" customWidth="1"/>
    <col min="47" max="47" width="9.19921875" bestFit="1" customWidth="1"/>
  </cols>
  <sheetData>
    <row r="23" spans="1:42" ht="14.65" thickBot="1" x14ac:dyDescent="0.5">
      <c r="AB23" t="s">
        <v>32</v>
      </c>
      <c r="AN23" t="s">
        <v>40</v>
      </c>
    </row>
    <row r="24" spans="1:42" x14ac:dyDescent="0.45">
      <c r="A24" s="6" t="s">
        <v>0</v>
      </c>
      <c r="B24" s="7"/>
      <c r="C24" s="7"/>
      <c r="D24" s="8"/>
      <c r="F24" s="6" t="s">
        <v>1</v>
      </c>
      <c r="G24" s="8" t="s">
        <v>2</v>
      </c>
      <c r="H24" s="6"/>
      <c r="I24" s="7"/>
      <c r="J24" s="8"/>
      <c r="K24" s="12" t="s">
        <v>3</v>
      </c>
      <c r="L24" s="1" t="s">
        <v>4</v>
      </c>
      <c r="M24" s="1" t="s">
        <v>5</v>
      </c>
      <c r="N24" s="6"/>
      <c r="O24" s="7"/>
      <c r="P24" s="7"/>
      <c r="Q24" s="7"/>
      <c r="R24" s="7"/>
      <c r="S24" s="8"/>
      <c r="T24" s="6"/>
      <c r="U24" s="8"/>
      <c r="V24" s="1"/>
      <c r="W24" s="12"/>
      <c r="X24" s="6" t="s">
        <v>6</v>
      </c>
      <c r="Y24" s="8" t="s">
        <v>7</v>
      </c>
      <c r="Z24" s="12"/>
      <c r="AA24" s="15"/>
      <c r="AB24" s="16" t="s">
        <v>42</v>
      </c>
      <c r="AD24" s="6"/>
      <c r="AE24" s="7"/>
      <c r="AF24" s="16"/>
      <c r="AI24" s="20" t="s">
        <v>43</v>
      </c>
      <c r="AJ24" s="21"/>
      <c r="AO24" s="6" t="s">
        <v>45</v>
      </c>
      <c r="AP24" s="8" t="s">
        <v>46</v>
      </c>
    </row>
    <row r="25" spans="1:42" ht="14.65" thickBot="1" x14ac:dyDescent="0.5">
      <c r="A25" s="9" t="s">
        <v>8</v>
      </c>
      <c r="B25" s="10" t="s">
        <v>9</v>
      </c>
      <c r="C25" s="10" t="s">
        <v>10</v>
      </c>
      <c r="D25" s="11" t="s">
        <v>11</v>
      </c>
      <c r="F25" s="9" t="s">
        <v>12</v>
      </c>
      <c r="G25" s="11" t="s">
        <v>13</v>
      </c>
      <c r="H25" s="9" t="s">
        <v>14</v>
      </c>
      <c r="I25" s="10" t="s">
        <v>15</v>
      </c>
      <c r="J25" s="11" t="s">
        <v>16</v>
      </c>
      <c r="K25" s="14" t="s">
        <v>17</v>
      </c>
      <c r="L25" s="1" t="s">
        <v>18</v>
      </c>
      <c r="M25" s="1" t="s">
        <v>19</v>
      </c>
      <c r="N25" s="9" t="s">
        <v>20</v>
      </c>
      <c r="O25" s="10" t="s">
        <v>21</v>
      </c>
      <c r="P25" s="10" t="s">
        <v>22</v>
      </c>
      <c r="Q25" s="10" t="s">
        <v>23</v>
      </c>
      <c r="R25" s="10" t="s">
        <v>24</v>
      </c>
      <c r="S25" s="11" t="s">
        <v>25</v>
      </c>
      <c r="T25" s="9" t="s">
        <v>26</v>
      </c>
      <c r="U25" s="11" t="s">
        <v>27</v>
      </c>
      <c r="V25" s="1" t="str">
        <f>C25</f>
        <v>Mach</v>
      </c>
      <c r="W25" s="14" t="s">
        <v>28</v>
      </c>
      <c r="X25" s="9" t="s">
        <v>29</v>
      </c>
      <c r="Y25" s="11" t="s">
        <v>30</v>
      </c>
      <c r="Z25" s="14" t="s">
        <v>31</v>
      </c>
      <c r="AA25" s="9" t="s">
        <v>39</v>
      </c>
      <c r="AB25" s="11" t="s">
        <v>44</v>
      </c>
      <c r="AD25" s="9" t="s">
        <v>33</v>
      </c>
      <c r="AE25" s="10" t="s">
        <v>34</v>
      </c>
      <c r="AF25" s="11" t="s">
        <v>35</v>
      </c>
      <c r="AI25" s="9" t="s">
        <v>36</v>
      </c>
      <c r="AJ25" s="11" t="s">
        <v>37</v>
      </c>
      <c r="AO25" s="9" t="s">
        <v>41</v>
      </c>
      <c r="AP25" s="11" t="s">
        <v>38</v>
      </c>
    </row>
    <row r="26" spans="1:42" x14ac:dyDescent="0.45">
      <c r="A26" s="2">
        <v>0.70099999999999996</v>
      </c>
      <c r="B26">
        <v>40000</v>
      </c>
      <c r="C26">
        <v>0.1</v>
      </c>
      <c r="D26" s="3">
        <v>1</v>
      </c>
      <c r="F26" s="2">
        <v>389.97</v>
      </c>
      <c r="G26" s="3">
        <v>5.8511999999999995E-4</v>
      </c>
      <c r="H26">
        <v>1.7591192124955999E-2</v>
      </c>
      <c r="I26">
        <v>0.31350851536555102</v>
      </c>
      <c r="J26">
        <v>-1.0693831438342001E-2</v>
      </c>
      <c r="K26" s="13">
        <v>968.07579999999996</v>
      </c>
      <c r="L26">
        <f>C26*K26</f>
        <v>96.807580000000002</v>
      </c>
      <c r="M26">
        <f>0.5*G26*L26^2</f>
        <v>2.7417867594987242</v>
      </c>
      <c r="N26" s="2">
        <f>F26/518.69</f>
        <v>0.75183635697622853</v>
      </c>
      <c r="O26">
        <f>N26 * (1 + (1.4 - 1)/2 * C26^2)</f>
        <v>0.75334002969018099</v>
      </c>
      <c r="P26">
        <f>G26*1716*F26/2116.2</f>
        <v>0.18502768491749363</v>
      </c>
      <c r="Q26">
        <f t="shared" ref="Q26:Q89" si="0">P26*(1 + (1.4 - 1)/2 *C26^2)^(1.4/0.4)</f>
        <v>0.18632611993519596</v>
      </c>
      <c r="R26">
        <f>Q26*(1-0.3 *C26^1)</f>
        <v>0.18073633633714006</v>
      </c>
      <c r="S26" s="3">
        <f>Q26*(1-0.1 * C26^0.5)</f>
        <v>0.18043397066942671</v>
      </c>
      <c r="T26" s="2">
        <f>A26 *1/M26 * 76</f>
        <v>19.431124545127041</v>
      </c>
      <c r="U26" s="3">
        <f>H26+I26*T26^2 + J26 * T26</f>
        <v>118.18076959740358</v>
      </c>
      <c r="V26">
        <v>0.1</v>
      </c>
      <c r="W26" s="13">
        <f>M26*U26*2713/1000</f>
        <v>879.08381123675622</v>
      </c>
      <c r="X26" s="2">
        <f>(32000 * 4)*R26/1000</f>
        <v>23.134251051153928</v>
      </c>
      <c r="Y26" s="3">
        <f>(38000 * 4)*S26/1000</f>
        <v>27.425963541752857</v>
      </c>
      <c r="Z26" s="13">
        <f>T26/U26</f>
        <v>0.16441866651673878</v>
      </c>
      <c r="AA26" s="2">
        <f>1/Z26</f>
        <v>6.0820344866268217</v>
      </c>
      <c r="AB26" s="3">
        <f>ATAN(AA26)</f>
        <v>1.4078356869073418</v>
      </c>
      <c r="AC26">
        <f>W26/L26</f>
        <v>9.0807332570110333</v>
      </c>
      <c r="AD26" s="2">
        <f>W26*L26*1000</f>
        <v>85101976.383007169</v>
      </c>
      <c r="AE26">
        <f>X26*L26*1000</f>
        <v>2239570.859374668</v>
      </c>
      <c r="AF26" s="3">
        <f>Y26*L26*1000</f>
        <v>2655041.1596453232</v>
      </c>
      <c r="AG26">
        <f>L26*(X26*1000 - W26*1000)</f>
        <v>-82862405.523632526</v>
      </c>
      <c r="AI26" s="2">
        <f>L26*(X26*1000 - W26*1000)/(A26*31377)</f>
        <v>-3767.2817452416048</v>
      </c>
      <c r="AJ26" s="2">
        <f>L26*(Y26*1000-W26*1000)/(A26*31377)</f>
        <v>-3748.3926764533066</v>
      </c>
      <c r="AK26">
        <f>L26*(Y26*1000-W26*1000)</f>
        <v>-82446935.22336185</v>
      </c>
      <c r="AO26" s="2">
        <f>AD26/(A26*206225)</f>
        <v>588.68140249573105</v>
      </c>
      <c r="AP26" s="3">
        <f>L26*SIN(AB26)</f>
        <v>95.525002850923968</v>
      </c>
    </row>
    <row r="27" spans="1:42" x14ac:dyDescent="0.45">
      <c r="A27" s="2">
        <v>0.70099999999999996</v>
      </c>
      <c r="B27">
        <f>B26</f>
        <v>40000</v>
      </c>
      <c r="C27">
        <v>0.12929292929292899</v>
      </c>
      <c r="D27" s="3">
        <f t="shared" ref="D27:D90" si="1">D26</f>
        <v>1</v>
      </c>
      <c r="F27" s="2">
        <v>389.97</v>
      </c>
      <c r="G27" s="3">
        <v>5.8511999999999995E-4</v>
      </c>
      <c r="H27">
        <v>1.7591192124955999E-2</v>
      </c>
      <c r="I27">
        <v>0.31350851536555102</v>
      </c>
      <c r="J27">
        <v>-1.0693831438342001E-2</v>
      </c>
      <c r="K27" s="13">
        <v>968.07579999999996</v>
      </c>
      <c r="L27">
        <f t="shared" ref="L27:L90" si="2">C27*K27</f>
        <v>125.16535595959566</v>
      </c>
      <c r="M27">
        <f t="shared" ref="M27:M90" si="3">0.5*G27*L27^2</f>
        <v>4.5833521342339436</v>
      </c>
      <c r="N27" s="2">
        <f t="shared" ref="N27:N90" si="4">F27/518.69</f>
        <v>0.75183635697622853</v>
      </c>
      <c r="O27">
        <f t="shared" ref="O27:O90" si="5">N27 * (1 + (1.4 - 1)/2 * C27^2)</f>
        <v>0.7543499957626173</v>
      </c>
      <c r="P27">
        <f t="shared" ref="P27:P90" si="6">G27*1716*F27/2116.2</f>
        <v>0.18502768491749363</v>
      </c>
      <c r="Q27">
        <f t="shared" si="0"/>
        <v>0.18720188012523803</v>
      </c>
      <c r="R27">
        <f t="shared" ref="R27:R35" si="7">Q27*(1-0.3 *C27^1)</f>
        <v>0.1799407162900773</v>
      </c>
      <c r="S27" s="3">
        <f t="shared" ref="S27:S35" si="8">Q27*(1-0.1 * C27^0.5)</f>
        <v>0.18047060109412891</v>
      </c>
      <c r="T27" s="2">
        <f t="shared" ref="T27:T90" si="9">A27 *1/M27 * 76</f>
        <v>11.623806864428166</v>
      </c>
      <c r="U27" s="3">
        <f t="shared" ref="U27:U90" si="10">H27+I27*T27^2 + J27 * T27</f>
        <v>42.25232846420888</v>
      </c>
      <c r="V27">
        <v>0.12929292929292899</v>
      </c>
      <c r="W27" s="13">
        <f>M27*U27*2713/1000</f>
        <v>525.39225447347667</v>
      </c>
      <c r="X27" s="2">
        <f t="shared" ref="X27:X90" si="11">(32000 * 4)*R27/1000</f>
        <v>23.032411685129894</v>
      </c>
      <c r="Y27" s="3">
        <f t="shared" ref="Y27:Y90" si="12">(38000 * 4)*S27/1000</f>
        <v>27.431531366307595</v>
      </c>
      <c r="Z27" s="13">
        <f t="shared" ref="Z27:Z90" si="13">T27/U27</f>
        <v>0.27510452765400767</v>
      </c>
      <c r="AA27" s="2">
        <f t="shared" ref="AA27:AA90" si="14">1/Z27</f>
        <v>3.6349819776782297</v>
      </c>
      <c r="AB27" s="3">
        <f t="shared" ref="AB27:AB90" si="15">ATAN(AA27)</f>
        <v>1.3023329399583947</v>
      </c>
      <c r="AC27">
        <f t="shared" ref="AC27:AC90" si="16">W27/L27</f>
        <v>4.1975852698655478</v>
      </c>
      <c r="AD27" s="2">
        <f t="shared" ref="AD27:AD90" si="17">W27*L27*1000</f>
        <v>65760908.549587168</v>
      </c>
      <c r="AE27">
        <f t="shared" ref="AE27:AE90" si="18">X27*L27*1000</f>
        <v>2882860.0071772332</v>
      </c>
      <c r="AF27" s="3">
        <f t="shared" ref="AF27:AF90" si="19">Y27*L27*1000</f>
        <v>3433477.3879807033</v>
      </c>
      <c r="AG27">
        <f t="shared" ref="AG27:AG90" si="20">L27*(X27*1000 - W27*1000)</f>
        <v>-62878048.542409934</v>
      </c>
      <c r="AI27" s="2">
        <f t="shared" ref="AI27:AI90" si="21">L27*(X27*1000 - W27*1000)/(A27*31377)</f>
        <v>-2858.7068279435598</v>
      </c>
      <c r="AJ27" s="2">
        <f t="shared" ref="AJ27:AJ90" si="22">L27*(Y27*1000-W27*1000)/(A27*31377)</f>
        <v>-2833.673390955998</v>
      </c>
      <c r="AK27">
        <f t="shared" ref="AK27:AK90" si="23">L27*(Y27*1000-W27*1000)</f>
        <v>-62327431.161606468</v>
      </c>
      <c r="AO27" s="2">
        <f t="shared" ref="AO27:AO90" si="24">AD27/(A27*206225)</f>
        <v>454.8921837036724</v>
      </c>
      <c r="AP27" s="3">
        <f t="shared" ref="AP27:AP90" si="25">L27*SIN(AB27)</f>
        <v>120.68188552443132</v>
      </c>
    </row>
    <row r="28" spans="1:42" x14ac:dyDescent="0.45">
      <c r="A28" s="2">
        <v>0.70099999999999996</v>
      </c>
      <c r="B28">
        <f>B27</f>
        <v>40000</v>
      </c>
      <c r="C28">
        <v>0.158585858585859</v>
      </c>
      <c r="D28" s="3">
        <f t="shared" si="1"/>
        <v>1</v>
      </c>
      <c r="F28" s="2">
        <v>389.97</v>
      </c>
      <c r="G28" s="3">
        <v>5.8511999999999995E-4</v>
      </c>
      <c r="H28">
        <v>1.7591192124955999E-2</v>
      </c>
      <c r="I28">
        <v>0.31350851536555102</v>
      </c>
      <c r="J28">
        <v>-1.0693831438342001E-2</v>
      </c>
      <c r="K28" s="13">
        <v>968.07579999999996</v>
      </c>
      <c r="L28">
        <f t="shared" si="2"/>
        <v>153.52313191919231</v>
      </c>
      <c r="M28">
        <f t="shared" si="3"/>
        <v>6.8954496311482902</v>
      </c>
      <c r="N28" s="2">
        <f t="shared" si="4"/>
        <v>0.75183635697622853</v>
      </c>
      <c r="O28">
        <f t="shared" si="5"/>
        <v>0.75561801484034596</v>
      </c>
      <c r="P28">
        <f t="shared" si="6"/>
        <v>0.18502768491749363</v>
      </c>
      <c r="Q28">
        <f t="shared" si="0"/>
        <v>0.18830556091707557</v>
      </c>
      <c r="R28">
        <f t="shared" si="7"/>
        <v>0.1793467812007177</v>
      </c>
      <c r="S28" s="3">
        <f t="shared" si="8"/>
        <v>0.18080669869310834</v>
      </c>
      <c r="T28" s="2">
        <f t="shared" si="9"/>
        <v>7.726254682412641</v>
      </c>
      <c r="U28" s="3">
        <f t="shared" si="10"/>
        <v>18.649862331132599</v>
      </c>
      <c r="V28">
        <v>0.158585858585859</v>
      </c>
      <c r="W28" s="13">
        <f t="shared" ref="W28:W91" si="26">M28*U28*2713/1000</f>
        <v>348.88959251918988</v>
      </c>
      <c r="X28" s="2">
        <f t="shared" si="11"/>
        <v>22.956387993691866</v>
      </c>
      <c r="Y28" s="3">
        <f t="shared" si="12"/>
        <v>27.482618201352466</v>
      </c>
      <c r="Z28" s="13">
        <f t="shared" si="13"/>
        <v>0.41427944856810256</v>
      </c>
      <c r="AA28" s="2">
        <f t="shared" si="14"/>
        <v>2.4138296105596271</v>
      </c>
      <c r="AB28" s="3">
        <f t="shared" si="15"/>
        <v>1.1780410090210691</v>
      </c>
      <c r="AC28">
        <f t="shared" si="16"/>
        <v>2.2725539021886925</v>
      </c>
      <c r="AD28" s="2">
        <f t="shared" si="17"/>
        <v>53562622.937556833</v>
      </c>
      <c r="AE28">
        <f t="shared" si="18"/>
        <v>3524336.582343719</v>
      </c>
      <c r="AF28" s="3">
        <f t="shared" si="19"/>
        <v>4219217.6196110304</v>
      </c>
      <c r="AG28">
        <f t="shared" si="20"/>
        <v>-50038286.355213113</v>
      </c>
      <c r="AI28" s="2">
        <f t="shared" si="21"/>
        <v>-2274.9559532809303</v>
      </c>
      <c r="AJ28" s="2">
        <f t="shared" si="22"/>
        <v>-2243.3636692979953</v>
      </c>
      <c r="AK28">
        <f t="shared" si="23"/>
        <v>-49343405.317945801</v>
      </c>
      <c r="AO28" s="2">
        <f t="shared" si="24"/>
        <v>370.51219410372028</v>
      </c>
      <c r="AP28" s="3">
        <f t="shared" si="25"/>
        <v>141.833575210795</v>
      </c>
    </row>
    <row r="29" spans="1:42" x14ac:dyDescent="0.45">
      <c r="A29" s="2">
        <v>0.70099999999999996</v>
      </c>
      <c r="B29">
        <f>B28</f>
        <v>40000</v>
      </c>
      <c r="C29">
        <v>0.18787878787878801</v>
      </c>
      <c r="D29" s="3">
        <f t="shared" si="1"/>
        <v>1</v>
      </c>
      <c r="F29" s="2">
        <v>389.97</v>
      </c>
      <c r="G29" s="3">
        <v>5.8511999999999995E-4</v>
      </c>
      <c r="H29">
        <v>1.7591192124955999E-2</v>
      </c>
      <c r="I29">
        <v>0.31350851536555102</v>
      </c>
      <c r="J29">
        <v>-1.0693831438342001E-2</v>
      </c>
      <c r="K29" s="13">
        <v>968.07579999999996</v>
      </c>
      <c r="L29">
        <f t="shared" si="2"/>
        <v>181.88090787878801</v>
      </c>
      <c r="M29">
        <f t="shared" si="3"/>
        <v>9.6780792502416073</v>
      </c>
      <c r="N29" s="2">
        <f t="shared" si="4"/>
        <v>0.75183635697622853</v>
      </c>
      <c r="O29">
        <f t="shared" si="5"/>
        <v>0.75714408692336643</v>
      </c>
      <c r="P29">
        <f t="shared" si="6"/>
        <v>0.18502768491749363</v>
      </c>
      <c r="Q29">
        <f t="shared" si="0"/>
        <v>0.18964000399178577</v>
      </c>
      <c r="R29">
        <f t="shared" si="7"/>
        <v>0.17895120376679419</v>
      </c>
      <c r="S29" s="3">
        <f t="shared" si="8"/>
        <v>0.18142006052617562</v>
      </c>
      <c r="T29" s="2">
        <f t="shared" si="9"/>
        <v>5.5048112980341619</v>
      </c>
      <c r="U29" s="3">
        <f t="shared" si="10"/>
        <v>9.4589557270318991</v>
      </c>
      <c r="V29">
        <v>0.18787878787878801</v>
      </c>
      <c r="W29" s="13">
        <f t="shared" si="26"/>
        <v>248.36029130796155</v>
      </c>
      <c r="X29" s="2">
        <f t="shared" si="11"/>
        <v>22.905754082149656</v>
      </c>
      <c r="Y29" s="3">
        <f t="shared" si="12"/>
        <v>27.575849199978698</v>
      </c>
      <c r="Z29" s="13">
        <f t="shared" si="13"/>
        <v>0.58196818516683158</v>
      </c>
      <c r="AA29" s="2">
        <f t="shared" si="14"/>
        <v>1.7183069890896736</v>
      </c>
      <c r="AB29" s="3">
        <f t="shared" si="15"/>
        <v>1.0437410397034439</v>
      </c>
      <c r="AC29">
        <f t="shared" si="16"/>
        <v>1.365510510171182</v>
      </c>
      <c r="AD29" s="2">
        <f t="shared" si="17"/>
        <v>45171995.264132313</v>
      </c>
      <c r="AE29">
        <f t="shared" si="18"/>
        <v>4166119.3481096341</v>
      </c>
      <c r="AF29" s="3">
        <f t="shared" si="19"/>
        <v>5015520.4880206753</v>
      </c>
      <c r="AG29">
        <f t="shared" si="20"/>
        <v>-41005875.916022673</v>
      </c>
      <c r="AI29" s="2">
        <f t="shared" si="21"/>
        <v>-1864.3036828325771</v>
      </c>
      <c r="AJ29" s="2">
        <f t="shared" si="22"/>
        <v>-1825.6862496485785</v>
      </c>
      <c r="AK29">
        <f t="shared" si="23"/>
        <v>-40156474.776111633</v>
      </c>
      <c r="AO29" s="2">
        <f t="shared" si="24"/>
        <v>312.47116290156691</v>
      </c>
      <c r="AP29" s="3">
        <f t="shared" si="25"/>
        <v>157.19820964506903</v>
      </c>
    </row>
    <row r="30" spans="1:42" x14ac:dyDescent="0.45">
      <c r="A30" s="2">
        <v>0.70099999999999996</v>
      </c>
      <c r="B30">
        <f>B29</f>
        <v>40000</v>
      </c>
      <c r="C30">
        <v>0.21717171717171699</v>
      </c>
      <c r="D30" s="3">
        <f t="shared" si="1"/>
        <v>1</v>
      </c>
      <c r="F30" s="2">
        <v>389.97</v>
      </c>
      <c r="G30" s="3">
        <v>5.8511999999999995E-4</v>
      </c>
      <c r="H30">
        <v>1.7591192124955999E-2</v>
      </c>
      <c r="I30">
        <v>0.31350851536555102</v>
      </c>
      <c r="J30">
        <v>-1.0693831438342001E-2</v>
      </c>
      <c r="K30" s="13">
        <v>968.07579999999996</v>
      </c>
      <c r="L30">
        <f t="shared" si="2"/>
        <v>210.23868383838365</v>
      </c>
      <c r="M30">
        <f t="shared" si="3"/>
        <v>12.931240991513958</v>
      </c>
      <c r="N30" s="2">
        <f t="shared" si="4"/>
        <v>0.75183635697622853</v>
      </c>
      <c r="O30">
        <f t="shared" si="5"/>
        <v>0.75892821201167926</v>
      </c>
      <c r="P30">
        <f t="shared" si="6"/>
        <v>0.18502768491749363</v>
      </c>
      <c r="Q30">
        <f t="shared" si="0"/>
        <v>0.1912086451147551</v>
      </c>
      <c r="R30">
        <f t="shared" si="7"/>
        <v>0.17875111217546047</v>
      </c>
      <c r="S30" s="3">
        <f t="shared" si="8"/>
        <v>0.18229799980554776</v>
      </c>
      <c r="T30" s="2">
        <f t="shared" si="9"/>
        <v>4.1199448711041748</v>
      </c>
      <c r="U30" s="3">
        <f t="shared" si="10"/>
        <v>5.2950097252748698</v>
      </c>
      <c r="V30">
        <v>0.21717171717171699</v>
      </c>
      <c r="W30" s="13">
        <f t="shared" si="26"/>
        <v>185.76194999536571</v>
      </c>
      <c r="X30" s="2">
        <f t="shared" si="11"/>
        <v>22.88014235845894</v>
      </c>
      <c r="Y30" s="3">
        <f t="shared" si="12"/>
        <v>27.709295970443257</v>
      </c>
      <c r="Z30" s="13">
        <f t="shared" si="13"/>
        <v>0.77808069953833825</v>
      </c>
      <c r="AA30" s="2">
        <f t="shared" si="14"/>
        <v>1.2852137324487474</v>
      </c>
      <c r="AB30" s="3">
        <f t="shared" si="15"/>
        <v>0.90956444209153742</v>
      </c>
      <c r="AC30">
        <f t="shared" si="16"/>
        <v>0.88357645036517696</v>
      </c>
      <c r="AD30" s="2">
        <f t="shared" si="17"/>
        <v>39054347.874277323</v>
      </c>
      <c r="AE30">
        <f t="shared" si="18"/>
        <v>4810291.0154772587</v>
      </c>
      <c r="AF30" s="3">
        <f t="shared" si="19"/>
        <v>5825565.9149142187</v>
      </c>
      <c r="AG30">
        <f t="shared" si="20"/>
        <v>-34244056.858800068</v>
      </c>
      <c r="AI30" s="2">
        <f t="shared" si="21"/>
        <v>-1556.8822733535055</v>
      </c>
      <c r="AJ30" s="2">
        <f t="shared" si="22"/>
        <v>-1510.7235048398395</v>
      </c>
      <c r="AK30">
        <f t="shared" si="23"/>
        <v>-33228781.95936311</v>
      </c>
      <c r="AO30" s="2">
        <f t="shared" si="24"/>
        <v>270.1531651476007</v>
      </c>
      <c r="AP30" s="3">
        <f t="shared" si="25"/>
        <v>165.92800998864135</v>
      </c>
    </row>
    <row r="31" spans="1:42" x14ac:dyDescent="0.45">
      <c r="A31" s="2">
        <v>0.70099999999999996</v>
      </c>
      <c r="B31">
        <f>B30</f>
        <v>40000</v>
      </c>
      <c r="C31">
        <v>0.246464646464646</v>
      </c>
      <c r="D31" s="3">
        <f t="shared" si="1"/>
        <v>1</v>
      </c>
      <c r="F31" s="2">
        <v>389.97</v>
      </c>
      <c r="G31" s="3">
        <v>5.8511999999999995E-4</v>
      </c>
      <c r="H31">
        <v>1.7591192124955999E-2</v>
      </c>
      <c r="I31">
        <v>0.31350851536555102</v>
      </c>
      <c r="J31">
        <v>-1.0693831438342001E-2</v>
      </c>
      <c r="K31" s="13">
        <v>968.07579999999996</v>
      </c>
      <c r="L31">
        <f t="shared" si="2"/>
        <v>238.59645979797935</v>
      </c>
      <c r="M31">
        <f t="shared" si="3"/>
        <v>16.654934854965354</v>
      </c>
      <c r="N31" s="2">
        <f t="shared" si="4"/>
        <v>0.75183635697622853</v>
      </c>
      <c r="O31">
        <f t="shared" si="5"/>
        <v>0.760970390105284</v>
      </c>
      <c r="P31">
        <f t="shared" si="6"/>
        <v>0.18502768491749363</v>
      </c>
      <c r="Q31">
        <f t="shared" si="0"/>
        <v>0.19301552290931062</v>
      </c>
      <c r="R31">
        <f t="shared" si="7"/>
        <v>0.17874407212450102</v>
      </c>
      <c r="S31" s="3">
        <f t="shared" si="8"/>
        <v>0.1834332275407598</v>
      </c>
      <c r="T31" s="2">
        <f t="shared" si="9"/>
        <v>3.1988116713717893</v>
      </c>
      <c r="U31" s="3">
        <f t="shared" si="10"/>
        <v>3.1913269520431582</v>
      </c>
      <c r="V31">
        <v>0.246464646464646</v>
      </c>
      <c r="W31" s="13">
        <f t="shared" si="26"/>
        <v>144.19959216770292</v>
      </c>
      <c r="X31" s="2">
        <f t="shared" si="11"/>
        <v>22.879241231936131</v>
      </c>
      <c r="Y31" s="3">
        <f t="shared" si="12"/>
        <v>27.88185058619549</v>
      </c>
      <c r="Z31" s="13">
        <f t="shared" si="13"/>
        <v>1.0023453314063728</v>
      </c>
      <c r="AA31" s="2">
        <f t="shared" si="14"/>
        <v>0.99766015630253679</v>
      </c>
      <c r="AB31" s="3">
        <f t="shared" si="15"/>
        <v>0.78422687176405825</v>
      </c>
      <c r="AC31">
        <f t="shared" si="16"/>
        <v>0.60436601737426165</v>
      </c>
      <c r="AD31" s="2">
        <f t="shared" si="17"/>
        <v>34405512.195526347</v>
      </c>
      <c r="AE31">
        <f t="shared" si="18"/>
        <v>5458905.9608039204</v>
      </c>
      <c r="AF31" s="3">
        <f t="shared" si="19"/>
        <v>6652510.8424824597</v>
      </c>
      <c r="AG31">
        <f t="shared" si="20"/>
        <v>-28946606.234722424</v>
      </c>
      <c r="AI31" s="2">
        <f t="shared" si="21"/>
        <v>-1316.037358143861</v>
      </c>
      <c r="AJ31" s="2">
        <f t="shared" si="22"/>
        <v>-1261.770940781691</v>
      </c>
      <c r="AK31">
        <f t="shared" si="23"/>
        <v>-27753001.353043888</v>
      </c>
      <c r="AO31" s="2">
        <f t="shared" si="24"/>
        <v>237.99547359149989</v>
      </c>
      <c r="AP31" s="3">
        <f t="shared" si="25"/>
        <v>168.51544667466101</v>
      </c>
    </row>
    <row r="32" spans="1:42" x14ac:dyDescent="0.45">
      <c r="A32" s="2">
        <v>0.70099999999999996</v>
      </c>
      <c r="B32">
        <f t="shared" ref="B32:B95" si="27">B31</f>
        <v>40000</v>
      </c>
      <c r="C32">
        <v>0.27575757575757598</v>
      </c>
      <c r="D32" s="3">
        <f t="shared" si="1"/>
        <v>1</v>
      </c>
      <c r="F32" s="2">
        <v>389.97</v>
      </c>
      <c r="G32" s="3">
        <v>5.8511999999999995E-4</v>
      </c>
      <c r="H32">
        <v>1.7591192124955999E-2</v>
      </c>
      <c r="I32">
        <v>0.31350851536555102</v>
      </c>
      <c r="J32">
        <v>-1.0693831438342001E-2</v>
      </c>
      <c r="K32" s="13">
        <v>968.07579999999996</v>
      </c>
      <c r="L32">
        <f t="shared" si="2"/>
        <v>266.95423575757599</v>
      </c>
      <c r="M32">
        <f t="shared" si="3"/>
        <v>20.849160840595939</v>
      </c>
      <c r="N32" s="2">
        <f t="shared" si="4"/>
        <v>0.75183635697622853</v>
      </c>
      <c r="O32">
        <f t="shared" si="5"/>
        <v>0.76327062120418099</v>
      </c>
      <c r="P32">
        <f t="shared" si="6"/>
        <v>0.18502768491749363</v>
      </c>
      <c r="Q32">
        <f t="shared" si="0"/>
        <v>0.19506528913992241</v>
      </c>
      <c r="R32">
        <f t="shared" si="7"/>
        <v>0.17892806976561973</v>
      </c>
      <c r="S32" s="3">
        <f t="shared" si="8"/>
        <v>0.18482189881060482</v>
      </c>
      <c r="T32" s="2">
        <f t="shared" si="9"/>
        <v>2.5553066815171248</v>
      </c>
      <c r="U32" s="3">
        <f t="shared" si="10"/>
        <v>2.0373479412403368</v>
      </c>
      <c r="V32">
        <v>0.27575757575757598</v>
      </c>
      <c r="W32" s="13">
        <f t="shared" si="26"/>
        <v>115.24008720487463</v>
      </c>
      <c r="X32" s="2">
        <f t="shared" si="11"/>
        <v>22.902792929999325</v>
      </c>
      <c r="Y32" s="3">
        <f t="shared" si="12"/>
        <v>28.092928619211932</v>
      </c>
      <c r="Z32" s="13">
        <f t="shared" si="13"/>
        <v>1.2542318520033719</v>
      </c>
      <c r="AA32" s="2">
        <f t="shared" si="14"/>
        <v>0.79730075296900649</v>
      </c>
      <c r="AB32" s="3">
        <f t="shared" si="15"/>
        <v>0.67309289137947426</v>
      </c>
      <c r="AC32">
        <f t="shared" si="16"/>
        <v>0.43168480499228862</v>
      </c>
      <c r="AD32" s="2">
        <f t="shared" si="17"/>
        <v>30763829.408413716</v>
      </c>
      <c r="AE32">
        <f t="shared" si="18"/>
        <v>6113997.5833419841</v>
      </c>
      <c r="AF32" s="3">
        <f t="shared" si="19"/>
        <v>7499526.289733856</v>
      </c>
      <c r="AG32">
        <f t="shared" si="20"/>
        <v>-24649831.825071733</v>
      </c>
      <c r="AI32" s="2">
        <f t="shared" si="21"/>
        <v>-1120.6874923680996</v>
      </c>
      <c r="AJ32" s="2">
        <f t="shared" si="22"/>
        <v>-1057.695391546097</v>
      </c>
      <c r="AK32">
        <f t="shared" si="23"/>
        <v>-23264303.118679859</v>
      </c>
      <c r="AO32" s="2">
        <f t="shared" si="24"/>
        <v>212.80462583828495</v>
      </c>
      <c r="AP32" s="3">
        <f t="shared" si="25"/>
        <v>166.42121620806913</v>
      </c>
    </row>
    <row r="33" spans="1:42" x14ac:dyDescent="0.45">
      <c r="A33" s="2">
        <v>0.70099999999999996</v>
      </c>
      <c r="B33">
        <f t="shared" si="27"/>
        <v>40000</v>
      </c>
      <c r="C33">
        <v>0.30505050505050502</v>
      </c>
      <c r="D33" s="3">
        <f t="shared" si="1"/>
        <v>1</v>
      </c>
      <c r="F33" s="2">
        <v>389.97</v>
      </c>
      <c r="G33" s="3">
        <v>5.8511999999999995E-4</v>
      </c>
      <c r="H33">
        <v>1.7591192124955999E-2</v>
      </c>
      <c r="I33">
        <v>0.31350851536555102</v>
      </c>
      <c r="J33">
        <v>-1.0693831438342001E-2</v>
      </c>
      <c r="K33" s="13">
        <v>968.07579999999996</v>
      </c>
      <c r="L33">
        <f t="shared" si="2"/>
        <v>295.31201171717169</v>
      </c>
      <c r="M33">
        <f t="shared" si="3"/>
        <v>25.513918948405426</v>
      </c>
      <c r="N33" s="2">
        <f t="shared" si="4"/>
        <v>0.75183635697622853</v>
      </c>
      <c r="O33">
        <f t="shared" si="5"/>
        <v>0.76582890530837011</v>
      </c>
      <c r="P33">
        <f t="shared" si="6"/>
        <v>0.18502768491749363</v>
      </c>
      <c r="Q33">
        <f t="shared" si="0"/>
        <v>0.19736322051705316</v>
      </c>
      <c r="R33">
        <f t="shared" si="7"/>
        <v>0.17930149548791677</v>
      </c>
      <c r="S33" s="3">
        <f t="shared" si="8"/>
        <v>0.18646257799800287</v>
      </c>
      <c r="T33" s="2">
        <f t="shared" si="9"/>
        <v>2.0881151228760819</v>
      </c>
      <c r="U33" s="3">
        <f t="shared" si="10"/>
        <v>1.3622288341461564</v>
      </c>
      <c r="V33">
        <v>0.30505050505050502</v>
      </c>
      <c r="W33" s="13">
        <f t="shared" si="26"/>
        <v>94.292474720508395</v>
      </c>
      <c r="X33" s="2">
        <f t="shared" si="11"/>
        <v>22.95059142245335</v>
      </c>
      <c r="Y33" s="3">
        <f t="shared" si="12"/>
        <v>28.342311855696437</v>
      </c>
      <c r="Z33" s="13">
        <f t="shared" si="13"/>
        <v>1.5328666304328453</v>
      </c>
      <c r="AA33" s="2">
        <f t="shared" si="14"/>
        <v>0.65237247660458475</v>
      </c>
      <c r="AB33" s="3">
        <f t="shared" si="15"/>
        <v>0.57804123481453495</v>
      </c>
      <c r="AC33">
        <f t="shared" si="16"/>
        <v>0.31929779683602866</v>
      </c>
      <c r="AD33" s="2">
        <f t="shared" si="17"/>
        <v>27845700.39950389</v>
      </c>
      <c r="AE33">
        <f t="shared" si="18"/>
        <v>6777585.3230635636</v>
      </c>
      <c r="AF33" s="3">
        <f t="shared" si="19"/>
        <v>8369825.13082116</v>
      </c>
      <c r="AG33">
        <f t="shared" si="20"/>
        <v>-21068115.076440327</v>
      </c>
      <c r="AI33" s="2">
        <f t="shared" si="21"/>
        <v>-957.84722676783429</v>
      </c>
      <c r="AJ33" s="2">
        <f t="shared" si="22"/>
        <v>-885.45714921811327</v>
      </c>
      <c r="AK33">
        <f t="shared" si="23"/>
        <v>-19475875.268682733</v>
      </c>
      <c r="AO33" s="2">
        <f t="shared" si="24"/>
        <v>192.61886340784241</v>
      </c>
      <c r="AP33" s="3">
        <f t="shared" si="25"/>
        <v>161.35389186943712</v>
      </c>
    </row>
    <row r="34" spans="1:42" x14ac:dyDescent="0.45">
      <c r="A34" s="2">
        <v>0.70099999999999996</v>
      </c>
      <c r="B34">
        <f t="shared" si="27"/>
        <v>40000</v>
      </c>
      <c r="C34">
        <v>0.334343434343434</v>
      </c>
      <c r="D34" s="3">
        <f t="shared" si="1"/>
        <v>1</v>
      </c>
      <c r="F34" s="2">
        <v>389.97</v>
      </c>
      <c r="G34" s="3">
        <v>5.8511999999999995E-4</v>
      </c>
      <c r="H34">
        <v>1.7591192124955999E-2</v>
      </c>
      <c r="I34">
        <v>0.31350851536555102</v>
      </c>
      <c r="J34">
        <v>-1.0693831438342001E-2</v>
      </c>
      <c r="K34" s="13">
        <v>968.07579999999996</v>
      </c>
      <c r="L34">
        <f t="shared" si="2"/>
        <v>323.66978767676733</v>
      </c>
      <c r="M34">
        <f t="shared" si="3"/>
        <v>30.649209178393946</v>
      </c>
      <c r="N34" s="2">
        <f t="shared" si="4"/>
        <v>0.75183635697622853</v>
      </c>
      <c r="O34">
        <f t="shared" si="5"/>
        <v>0.76864524241785126</v>
      </c>
      <c r="P34">
        <f t="shared" si="6"/>
        <v>0.18502768491749363</v>
      </c>
      <c r="Q34">
        <f t="shared" si="0"/>
        <v>0.19991523203743153</v>
      </c>
      <c r="R34">
        <f t="shared" si="7"/>
        <v>0.17986312846034372</v>
      </c>
      <c r="S34" s="3">
        <f t="shared" si="8"/>
        <v>0.18835564591529588</v>
      </c>
      <c r="T34" s="2">
        <f t="shared" si="9"/>
        <v>1.7382503962796121</v>
      </c>
      <c r="U34" s="3">
        <f t="shared" si="10"/>
        <v>0.94627314168159904</v>
      </c>
      <c r="V34">
        <v>0.334343434343434</v>
      </c>
      <c r="W34" s="13">
        <f t="shared" si="26"/>
        <v>78.683846145068259</v>
      </c>
      <c r="X34" s="2">
        <f t="shared" si="11"/>
        <v>23.022480442923996</v>
      </c>
      <c r="Y34" s="3">
        <f t="shared" si="12"/>
        <v>28.630058179124976</v>
      </c>
      <c r="Z34" s="13">
        <f t="shared" si="13"/>
        <v>1.8369436050891284</v>
      </c>
      <c r="AA34" s="2">
        <f t="shared" si="14"/>
        <v>0.54438252607732074</v>
      </c>
      <c r="AB34" s="3">
        <f t="shared" si="15"/>
        <v>0.49852014334745598</v>
      </c>
      <c r="AC34">
        <f t="shared" si="16"/>
        <v>0.2430991372714893</v>
      </c>
      <c r="AD34" s="2">
        <f t="shared" si="17"/>
        <v>25467583.775365669</v>
      </c>
      <c r="AE34">
        <f t="shared" si="18"/>
        <v>7451681.3567537386</v>
      </c>
      <c r="AF34" s="3">
        <f t="shared" si="19"/>
        <v>9266684.8520108759</v>
      </c>
      <c r="AG34">
        <f t="shared" si="20"/>
        <v>-18015902.418611929</v>
      </c>
      <c r="AI34" s="2">
        <f t="shared" si="21"/>
        <v>-819.08049708180215</v>
      </c>
      <c r="AJ34" s="2">
        <f t="shared" si="22"/>
        <v>-736.56262311926309</v>
      </c>
      <c r="AK34">
        <f t="shared" si="23"/>
        <v>-16200898.923354793</v>
      </c>
      <c r="AO34" s="2">
        <f t="shared" si="24"/>
        <v>176.16856355469309</v>
      </c>
      <c r="AP34" s="3">
        <f t="shared" si="25"/>
        <v>154.75504373936752</v>
      </c>
    </row>
    <row r="35" spans="1:42" x14ac:dyDescent="0.45">
      <c r="A35" s="2">
        <v>0.70099999999999996</v>
      </c>
      <c r="B35">
        <f t="shared" si="27"/>
        <v>40000</v>
      </c>
      <c r="C35">
        <v>0.36363636363636398</v>
      </c>
      <c r="D35" s="3">
        <f t="shared" si="1"/>
        <v>1</v>
      </c>
      <c r="F35" s="2">
        <v>389.97</v>
      </c>
      <c r="G35" s="3">
        <v>5.8511999999999995E-4</v>
      </c>
      <c r="H35">
        <v>1.7591192124955999E-2</v>
      </c>
      <c r="I35">
        <v>0.31350851536555102</v>
      </c>
      <c r="J35">
        <v>-1.0693831438342001E-2</v>
      </c>
      <c r="K35" s="13">
        <v>968.07579999999996</v>
      </c>
      <c r="L35">
        <f t="shared" si="2"/>
        <v>352.02756363636394</v>
      </c>
      <c r="M35">
        <f t="shared" si="3"/>
        <v>36.255031530561702</v>
      </c>
      <c r="N35" s="2">
        <f t="shared" si="4"/>
        <v>0.75183635697622853</v>
      </c>
      <c r="O35">
        <f t="shared" si="5"/>
        <v>0.77171963253262477</v>
      </c>
      <c r="P35">
        <f t="shared" si="6"/>
        <v>0.18502768491749363</v>
      </c>
      <c r="Q35">
        <f t="shared" si="0"/>
        <v>0.20272789187520077</v>
      </c>
      <c r="R35">
        <f t="shared" si="7"/>
        <v>0.18061212185245157</v>
      </c>
      <c r="S35" s="3">
        <f t="shared" si="8"/>
        <v>0.1905029400226593</v>
      </c>
      <c r="T35" s="2">
        <f t="shared" si="9"/>
        <v>1.4694787937252303</v>
      </c>
      <c r="U35" s="3">
        <f t="shared" si="10"/>
        <v>0.67885706596263995</v>
      </c>
      <c r="V35">
        <v>0.36363636363636398</v>
      </c>
      <c r="W35" s="13">
        <f t="shared" si="26"/>
        <v>66.772313490600183</v>
      </c>
      <c r="X35" s="2">
        <f t="shared" si="11"/>
        <v>23.118351597113801</v>
      </c>
      <c r="Y35" s="3">
        <f t="shared" si="12"/>
        <v>28.956446883444212</v>
      </c>
      <c r="Z35" s="13">
        <f t="shared" si="13"/>
        <v>2.1646365154076501</v>
      </c>
      <c r="AA35" s="2">
        <f t="shared" si="14"/>
        <v>0.46197132538516628</v>
      </c>
      <c r="AB35" s="3">
        <f t="shared" si="15"/>
        <v>0.43276456552446052</v>
      </c>
      <c r="AC35">
        <f t="shared" si="16"/>
        <v>0.18967921943627797</v>
      </c>
      <c r="AD35" s="2">
        <f t="shared" si="17"/>
        <v>23505694.836459499</v>
      </c>
      <c r="AE35">
        <f t="shared" si="18"/>
        <v>8138296.988020815</v>
      </c>
      <c r="AF35" s="3">
        <f t="shared" si="19"/>
        <v>10193467.447944649</v>
      </c>
      <c r="AG35">
        <f t="shared" si="20"/>
        <v>-15367397.848438684</v>
      </c>
      <c r="AI35" s="2">
        <f t="shared" si="21"/>
        <v>-698.66807535266253</v>
      </c>
      <c r="AJ35" s="2">
        <f t="shared" si="22"/>
        <v>-605.23117706200514</v>
      </c>
      <c r="AK35">
        <f t="shared" si="23"/>
        <v>-13312227.388514848</v>
      </c>
      <c r="AO35" s="2">
        <f t="shared" si="24"/>
        <v>162.59746237487656</v>
      </c>
      <c r="AP35" s="3">
        <f t="shared" si="25"/>
        <v>147.63405944802452</v>
      </c>
    </row>
    <row r="36" spans="1:42" x14ac:dyDescent="0.45">
      <c r="A36" s="2">
        <v>0.70099999999999996</v>
      </c>
      <c r="B36">
        <f t="shared" si="27"/>
        <v>40000</v>
      </c>
      <c r="C36">
        <v>0.39292929292929302</v>
      </c>
      <c r="D36" s="3">
        <f t="shared" si="1"/>
        <v>1</v>
      </c>
      <c r="F36" s="2">
        <v>389.97</v>
      </c>
      <c r="G36" s="3">
        <v>5.8511999999999995E-4</v>
      </c>
      <c r="H36">
        <v>1.7591192124955999E-2</v>
      </c>
      <c r="I36">
        <v>0.31350851536555102</v>
      </c>
      <c r="J36">
        <v>-1.0693831438342001E-2</v>
      </c>
      <c r="K36" s="13">
        <v>968.07579999999996</v>
      </c>
      <c r="L36">
        <f t="shared" si="2"/>
        <v>380.38533959595969</v>
      </c>
      <c r="M36">
        <f t="shared" si="3"/>
        <v>42.331386004908339</v>
      </c>
      <c r="N36" s="2">
        <f t="shared" si="4"/>
        <v>0.75183635697622853</v>
      </c>
      <c r="O36">
        <f t="shared" si="5"/>
        <v>0.77505207565269019</v>
      </c>
      <c r="P36">
        <f t="shared" si="6"/>
        <v>0.18502768491749363</v>
      </c>
      <c r="Q36">
        <f>P36*(1 + (1.4 - 1)/2 *C36^2)^(1.4/0.4)</f>
        <v>0.20580843784104227</v>
      </c>
      <c r="R36">
        <f>Q36*(1-0.3*C36^1-1.7*(O36-1)/O36)</f>
        <v>0.28309407827951683</v>
      </c>
      <c r="S36" s="3">
        <f t="shared" ref="S36:S99" si="28">Q36*(1-0.1 * C36^0.5 - 2.2*(O36-1)/O36)</f>
        <v>0.32432011340373779</v>
      </c>
      <c r="T36" s="2">
        <f t="shared" si="9"/>
        <v>1.2585460819502254</v>
      </c>
      <c r="U36" s="3">
        <f t="shared" si="10"/>
        <v>0.50071063864329635</v>
      </c>
      <c r="V36">
        <v>0.39292929292929302</v>
      </c>
      <c r="W36" s="13">
        <f t="shared" si="26"/>
        <v>57.504138446343852</v>
      </c>
      <c r="X36" s="2">
        <f t="shared" si="11"/>
        <v>36.236042019778154</v>
      </c>
      <c r="Y36" s="3">
        <f t="shared" si="12"/>
        <v>49.296657237368144</v>
      </c>
      <c r="Z36" s="13">
        <f t="shared" si="13"/>
        <v>2.513519755362752</v>
      </c>
      <c r="AA36" s="2">
        <f t="shared" si="14"/>
        <v>0.39784847438196469</v>
      </c>
      <c r="AB36" s="3">
        <f t="shared" si="15"/>
        <v>0.37865023869949821</v>
      </c>
      <c r="AC36">
        <f t="shared" si="16"/>
        <v>0.15117338251632934</v>
      </c>
      <c r="AD36" s="2">
        <f t="shared" si="17"/>
        <v>21873731.231085587</v>
      </c>
      <c r="AE36">
        <f t="shared" si="18"/>
        <v>13783659.14930678</v>
      </c>
      <c r="AF36" s="3">
        <f t="shared" si="19"/>
        <v>18751725.704181906</v>
      </c>
      <c r="AG36">
        <f t="shared" si="20"/>
        <v>-8090072.0817788085</v>
      </c>
      <c r="AI36" s="2">
        <f t="shared" si="21"/>
        <v>-367.80951118637012</v>
      </c>
      <c r="AJ36" s="2">
        <f t="shared" si="22"/>
        <v>-141.93981402933383</v>
      </c>
      <c r="AK36">
        <f t="shared" si="23"/>
        <v>-3122005.5269036833</v>
      </c>
      <c r="AO36" s="2">
        <f t="shared" si="24"/>
        <v>151.30857503212226</v>
      </c>
      <c r="AP36" s="3">
        <f t="shared" si="25"/>
        <v>140.61577660372976</v>
      </c>
    </row>
    <row r="37" spans="1:42" x14ac:dyDescent="0.45">
      <c r="A37" s="2">
        <v>0.70099999999999996</v>
      </c>
      <c r="B37">
        <f t="shared" si="27"/>
        <v>40000</v>
      </c>
      <c r="C37">
        <v>0.422222222222222</v>
      </c>
      <c r="D37" s="3">
        <f t="shared" si="1"/>
        <v>1</v>
      </c>
      <c r="F37" s="2">
        <v>389.97</v>
      </c>
      <c r="G37" s="3">
        <v>5.8511999999999995E-4</v>
      </c>
      <c r="H37">
        <v>1.7591192124955999E-2</v>
      </c>
      <c r="I37">
        <v>0.31350851536555102</v>
      </c>
      <c r="J37">
        <v>-1.0693831438342001E-2</v>
      </c>
      <c r="K37" s="13">
        <v>968.07579999999996</v>
      </c>
      <c r="L37">
        <f t="shared" si="2"/>
        <v>408.74311555555533</v>
      </c>
      <c r="M37">
        <f t="shared" si="3"/>
        <v>48.878272601433999</v>
      </c>
      <c r="N37" s="2">
        <f t="shared" si="4"/>
        <v>0.75183635697622853</v>
      </c>
      <c r="O37">
        <f t="shared" si="5"/>
        <v>0.77864257177804763</v>
      </c>
      <c r="P37">
        <f t="shared" si="6"/>
        <v>0.18502768491749363</v>
      </c>
      <c r="Q37">
        <f t="shared" si="0"/>
        <v>0.20916479542800953</v>
      </c>
      <c r="R37">
        <f t="shared" ref="R37:R45" si="29">Q37*(1-0.3*C37^1-1.7*(O37-1)/O37)</f>
        <v>0.28375715953138841</v>
      </c>
      <c r="S37" s="3">
        <f t="shared" si="28"/>
        <v>0.32639146988348955</v>
      </c>
      <c r="T37" s="2">
        <f t="shared" si="9"/>
        <v>1.0899730527391218</v>
      </c>
      <c r="U37" s="3">
        <f t="shared" si="10"/>
        <v>0.37839625429335833</v>
      </c>
      <c r="V37">
        <v>0.422222222222222</v>
      </c>
      <c r="W37" s="13">
        <f t="shared" si="26"/>
        <v>50.177898844016497</v>
      </c>
      <c r="X37" s="2">
        <f t="shared" si="11"/>
        <v>36.320916420017717</v>
      </c>
      <c r="Y37" s="3">
        <f t="shared" si="12"/>
        <v>49.611503422290411</v>
      </c>
      <c r="Z37" s="13">
        <f t="shared" si="13"/>
        <v>2.8805069827517404</v>
      </c>
      <c r="AA37" s="2">
        <f t="shared" si="14"/>
        <v>0.34716110948104795</v>
      </c>
      <c r="AB37" s="3">
        <f t="shared" si="15"/>
        <v>0.33414350571337137</v>
      </c>
      <c r="AC37">
        <f t="shared" si="16"/>
        <v>0.12276145318268104</v>
      </c>
      <c r="AD37" s="2">
        <f t="shared" si="17"/>
        <v>20509870.705534801</v>
      </c>
      <c r="AE37">
        <f t="shared" si="18"/>
        <v>14845924.537350969</v>
      </c>
      <c r="AF37" s="3">
        <f t="shared" si="19"/>
        <v>20278360.476222079</v>
      </c>
      <c r="AG37">
        <f t="shared" si="20"/>
        <v>-5663946.1681838324</v>
      </c>
      <c r="AI37" s="2">
        <f t="shared" si="21"/>
        <v>-257.50738070649589</v>
      </c>
      <c r="AJ37" s="2">
        <f t="shared" si="22"/>
        <v>-10.525451864630849</v>
      </c>
      <c r="AK37">
        <f t="shared" si="23"/>
        <v>-231510.22931272202</v>
      </c>
      <c r="AO37" s="2">
        <f t="shared" si="24"/>
        <v>141.87425445446155</v>
      </c>
      <c r="AP37" s="3">
        <f t="shared" si="25"/>
        <v>134.05146058023925</v>
      </c>
    </row>
    <row r="38" spans="1:42" x14ac:dyDescent="0.45">
      <c r="A38" s="2">
        <v>0.70099999999999996</v>
      </c>
      <c r="B38">
        <f t="shared" si="27"/>
        <v>40000</v>
      </c>
      <c r="C38">
        <v>0.45151515151515198</v>
      </c>
      <c r="D38" s="3">
        <f t="shared" si="1"/>
        <v>1</v>
      </c>
      <c r="F38" s="2">
        <v>389.97</v>
      </c>
      <c r="G38" s="3">
        <v>5.8511999999999995E-4</v>
      </c>
      <c r="H38">
        <v>1.7591192124955999E-2</v>
      </c>
      <c r="I38">
        <v>0.31350851536555102</v>
      </c>
      <c r="J38">
        <v>-1.0693831438342001E-2</v>
      </c>
      <c r="K38" s="13">
        <v>968.07579999999996</v>
      </c>
      <c r="L38">
        <f t="shared" si="2"/>
        <v>437.10089151515194</v>
      </c>
      <c r="M38">
        <f t="shared" si="3"/>
        <v>55.895691320138923</v>
      </c>
      <c r="N38" s="2">
        <f t="shared" si="4"/>
        <v>0.75183635697622853</v>
      </c>
      <c r="O38">
        <f t="shared" si="5"/>
        <v>0.78249112090869744</v>
      </c>
      <c r="P38">
        <f t="shared" si="6"/>
        <v>0.18502768491749363</v>
      </c>
      <c r="Q38">
        <f t="shared" si="0"/>
        <v>0.21280559746440059</v>
      </c>
      <c r="R38">
        <f t="shared" si="29"/>
        <v>0.28454110206921052</v>
      </c>
      <c r="S38" s="3">
        <f t="shared" si="28"/>
        <v>0.32864390335366161</v>
      </c>
      <c r="T38" s="2">
        <f t="shared" si="9"/>
        <v>0.95313249987132609</v>
      </c>
      <c r="U38" s="3">
        <f t="shared" si="10"/>
        <v>0.2922089894997057</v>
      </c>
      <c r="V38">
        <v>0.45151515151515198</v>
      </c>
      <c r="W38" s="13">
        <f t="shared" si="26"/>
        <v>44.312035295936802</v>
      </c>
      <c r="X38" s="2">
        <f t="shared" si="11"/>
        <v>36.421261064858946</v>
      </c>
      <c r="Y38" s="3">
        <f t="shared" si="12"/>
        <v>49.953873309756567</v>
      </c>
      <c r="Z38" s="13">
        <f t="shared" si="13"/>
        <v>3.2618178568126703</v>
      </c>
      <c r="AA38" s="2">
        <f t="shared" si="14"/>
        <v>0.3065775110377143</v>
      </c>
      <c r="AB38" s="3">
        <f t="shared" si="15"/>
        <v>0.29748023092159481</v>
      </c>
      <c r="AC38">
        <f t="shared" si="16"/>
        <v>0.10137713318848433</v>
      </c>
      <c r="AD38" s="2">
        <f t="shared" si="17"/>
        <v>19368830.132704858</v>
      </c>
      <c r="AE38">
        <f t="shared" si="18"/>
        <v>15919765.681555936</v>
      </c>
      <c r="AF38" s="3">
        <f t="shared" si="19"/>
        <v>21834882.558329549</v>
      </c>
      <c r="AG38">
        <f t="shared" si="20"/>
        <v>-3449064.4511489184</v>
      </c>
      <c r="AI38" s="2">
        <f t="shared" si="21"/>
        <v>-156.80932098054134</v>
      </c>
      <c r="AJ38" s="2">
        <f t="shared" si="22"/>
        <v>112.11736163289471</v>
      </c>
      <c r="AK38">
        <f t="shared" si="23"/>
        <v>2466052.4256246914</v>
      </c>
      <c r="AO38" s="2">
        <f t="shared" si="24"/>
        <v>133.98126073954487</v>
      </c>
      <c r="AP38" s="3">
        <f t="shared" si="25"/>
        <v>128.11953561536419</v>
      </c>
    </row>
    <row r="39" spans="1:42" x14ac:dyDescent="0.45">
      <c r="A39" s="2">
        <v>0.70099999999999996</v>
      </c>
      <c r="B39">
        <f t="shared" si="27"/>
        <v>40000</v>
      </c>
      <c r="C39">
        <v>0.48080808080808102</v>
      </c>
      <c r="D39" s="3">
        <f t="shared" si="1"/>
        <v>1</v>
      </c>
      <c r="F39" s="2">
        <v>389.97</v>
      </c>
      <c r="G39" s="3">
        <v>5.8511999999999995E-4</v>
      </c>
      <c r="H39">
        <v>1.7591192124955999E-2</v>
      </c>
      <c r="I39">
        <v>0.31350851536555102</v>
      </c>
      <c r="J39">
        <v>-1.0693831438342001E-2</v>
      </c>
      <c r="K39" s="13">
        <v>968.07579999999996</v>
      </c>
      <c r="L39">
        <f t="shared" si="2"/>
        <v>465.45866747474764</v>
      </c>
      <c r="M39">
        <f t="shared" si="3"/>
        <v>63.383642161022692</v>
      </c>
      <c r="N39" s="2">
        <f t="shared" si="4"/>
        <v>0.75183635697622853</v>
      </c>
      <c r="O39">
        <f t="shared" si="5"/>
        <v>0.78659772304463915</v>
      </c>
      <c r="P39">
        <f t="shared" si="6"/>
        <v>0.18502768491749363</v>
      </c>
      <c r="Q39">
        <f t="shared" si="0"/>
        <v>0.21674020539557501</v>
      </c>
      <c r="R39">
        <f t="shared" si="29"/>
        <v>0.28543903343714638</v>
      </c>
      <c r="S39" s="3">
        <f t="shared" si="28"/>
        <v>0.33107390627350203</v>
      </c>
      <c r="T39" s="2">
        <f t="shared" si="9"/>
        <v>0.84053232322395133</v>
      </c>
      <c r="U39" s="3">
        <f t="shared" si="10"/>
        <v>0.23009475003304725</v>
      </c>
      <c r="V39">
        <v>0.48080808080808102</v>
      </c>
      <c r="W39" s="13">
        <f t="shared" si="26"/>
        <v>39.567052070796422</v>
      </c>
      <c r="X39" s="2">
        <f t="shared" si="11"/>
        <v>36.536196279954737</v>
      </c>
      <c r="Y39" s="3">
        <f t="shared" si="12"/>
        <v>50.323233753572303</v>
      </c>
      <c r="Z39" s="13">
        <f t="shared" si="13"/>
        <v>3.6529834909454921</v>
      </c>
      <c r="AA39" s="2">
        <f t="shared" si="14"/>
        <v>0.27374884186546722</v>
      </c>
      <c r="AB39" s="3">
        <f t="shared" si="15"/>
        <v>0.26720264747496886</v>
      </c>
      <c r="AC39">
        <f t="shared" si="16"/>
        <v>8.5006585623293912E-2</v>
      </c>
      <c r="AD39" s="2">
        <f t="shared" si="17"/>
        <v>18416827.332776859</v>
      </c>
      <c r="AE39">
        <f t="shared" si="18"/>
        <v>17006089.235063564</v>
      </c>
      <c r="AF39" s="3">
        <f t="shared" si="19"/>
        <v>23423385.325958006</v>
      </c>
      <c r="AG39">
        <f t="shared" si="20"/>
        <v>-1410738.0977132928</v>
      </c>
      <c r="AI39" s="2">
        <f t="shared" si="21"/>
        <v>-64.13822829843393</v>
      </c>
      <c r="AJ39" s="2">
        <f t="shared" si="22"/>
        <v>227.61968367941677</v>
      </c>
      <c r="AK39">
        <f t="shared" si="23"/>
        <v>5006557.9931811504</v>
      </c>
      <c r="AO39" s="2">
        <f t="shared" si="24"/>
        <v>127.39591023112376</v>
      </c>
      <c r="AP39" s="3">
        <f t="shared" si="25"/>
        <v>122.8970951713108</v>
      </c>
    </row>
    <row r="40" spans="1:42" x14ac:dyDescent="0.45">
      <c r="A40" s="2">
        <v>0.70099999999999996</v>
      </c>
      <c r="B40">
        <f t="shared" si="27"/>
        <v>40000</v>
      </c>
      <c r="C40">
        <v>0.51010101010101006</v>
      </c>
      <c r="D40" s="3">
        <f t="shared" si="1"/>
        <v>1</v>
      </c>
      <c r="F40" s="2">
        <v>389.97</v>
      </c>
      <c r="G40" s="3">
        <v>5.8511999999999995E-4</v>
      </c>
      <c r="H40">
        <v>1.7591192124955999E-2</v>
      </c>
      <c r="I40">
        <v>0.31350851536555102</v>
      </c>
      <c r="J40">
        <v>-1.0693831438342001E-2</v>
      </c>
      <c r="K40" s="13">
        <v>968.07579999999996</v>
      </c>
      <c r="L40">
        <f t="shared" si="2"/>
        <v>493.81644343434334</v>
      </c>
      <c r="M40">
        <f t="shared" si="3"/>
        <v>71.342125124085484</v>
      </c>
      <c r="N40" s="2">
        <f t="shared" si="4"/>
        <v>0.75183635697622853</v>
      </c>
      <c r="O40">
        <f t="shared" si="5"/>
        <v>0.79096237818587301</v>
      </c>
      <c r="P40">
        <f t="shared" si="6"/>
        <v>0.18502768491749363</v>
      </c>
      <c r="Q40">
        <f t="shared" si="0"/>
        <v>0.22097873221816489</v>
      </c>
      <c r="R40">
        <f t="shared" si="29"/>
        <v>0.28644372078644509</v>
      </c>
      <c r="S40" s="3">
        <f t="shared" si="28"/>
        <v>0.33367798328595161</v>
      </c>
      <c r="T40" s="2">
        <f t="shared" si="9"/>
        <v>0.74676777440168696</v>
      </c>
      <c r="U40" s="3">
        <f t="shared" si="10"/>
        <v>0.18443720325402976</v>
      </c>
      <c r="V40">
        <v>0.51010101010101006</v>
      </c>
      <c r="W40" s="13">
        <f t="shared" si="26"/>
        <v>35.698039333047632</v>
      </c>
      <c r="X40" s="2">
        <f t="shared" si="11"/>
        <v>36.664796260664971</v>
      </c>
      <c r="Y40" s="3">
        <f t="shared" si="12"/>
        <v>50.719053459464646</v>
      </c>
      <c r="Z40" s="13">
        <f t="shared" si="13"/>
        <v>4.0488999031998221</v>
      </c>
      <c r="AA40" s="2">
        <f t="shared" si="14"/>
        <v>0.24698066731896876</v>
      </c>
      <c r="AB40" s="3">
        <f t="shared" si="15"/>
        <v>0.24213492563090189</v>
      </c>
      <c r="AC40">
        <f t="shared" si="16"/>
        <v>7.2290098492424862E-2</v>
      </c>
      <c r="AD40" s="2">
        <f t="shared" si="17"/>
        <v>17628278.82102488</v>
      </c>
      <c r="AE40">
        <f t="shared" si="18"/>
        <v>18105679.288686387</v>
      </c>
      <c r="AF40" s="3">
        <f t="shared" si="19"/>
        <v>25045902.59370916</v>
      </c>
      <c r="AG40">
        <f t="shared" si="20"/>
        <v>477400.4676615104</v>
      </c>
      <c r="AI40" s="2">
        <f t="shared" si="21"/>
        <v>21.704680857690967</v>
      </c>
      <c r="AJ40" s="2">
        <f t="shared" si="22"/>
        <v>337.23711561733376</v>
      </c>
      <c r="AK40">
        <f t="shared" si="23"/>
        <v>7417623.7726842808</v>
      </c>
      <c r="AO40" s="2">
        <f t="shared" si="24"/>
        <v>121.94123263650603</v>
      </c>
      <c r="AP40" s="3">
        <f t="shared" si="25"/>
        <v>118.40524140831113</v>
      </c>
    </row>
    <row r="41" spans="1:42" x14ac:dyDescent="0.45">
      <c r="A41" s="2">
        <v>0.70099999999999996</v>
      </c>
      <c r="B41">
        <f t="shared" si="27"/>
        <v>40000</v>
      </c>
      <c r="C41">
        <v>0.53939393939393898</v>
      </c>
      <c r="D41" s="3">
        <f t="shared" si="1"/>
        <v>1</v>
      </c>
      <c r="F41" s="2">
        <v>389.97</v>
      </c>
      <c r="G41" s="3">
        <v>5.8511999999999995E-4</v>
      </c>
      <c r="H41">
        <v>1.7591192124955999E-2</v>
      </c>
      <c r="I41">
        <v>0.31350851536555102</v>
      </c>
      <c r="J41">
        <v>-1.0693831438342001E-2</v>
      </c>
      <c r="K41" s="13">
        <v>968.07579999999996</v>
      </c>
      <c r="L41">
        <f t="shared" si="2"/>
        <v>522.17421939393898</v>
      </c>
      <c r="M41">
        <f t="shared" si="3"/>
        <v>79.771140209327299</v>
      </c>
      <c r="N41" s="2">
        <f t="shared" si="4"/>
        <v>0.75183635697622853</v>
      </c>
      <c r="O41">
        <f t="shared" si="5"/>
        <v>0.79558508633239888</v>
      </c>
      <c r="P41">
        <f t="shared" si="6"/>
        <v>0.18502768491749363</v>
      </c>
      <c r="Q41">
        <f t="shared" si="0"/>
        <v>0.22553206709163548</v>
      </c>
      <c r="R41">
        <f t="shared" si="29"/>
        <v>0.28754752384943466</v>
      </c>
      <c r="S41" s="3">
        <f t="shared" si="28"/>
        <v>0.33645258061162792</v>
      </c>
      <c r="T41" s="2">
        <f t="shared" si="9"/>
        <v>0.66786058040788365</v>
      </c>
      <c r="U41" s="3">
        <f t="shared" si="10"/>
        <v>0.15028583797776682</v>
      </c>
      <c r="V41">
        <v>0.53939393939393898</v>
      </c>
      <c r="W41" s="13">
        <f t="shared" si="26"/>
        <v>32.524726307048255</v>
      </c>
      <c r="X41" s="2">
        <f t="shared" si="11"/>
        <v>36.806083052727637</v>
      </c>
      <c r="Y41" s="3">
        <f t="shared" si="12"/>
        <v>51.140792252967437</v>
      </c>
      <c r="Z41" s="13">
        <f t="shared" si="13"/>
        <v>4.443935565683085</v>
      </c>
      <c r="AA41" s="2">
        <f t="shared" si="14"/>
        <v>0.22502576493732043</v>
      </c>
      <c r="AB41" s="3">
        <f t="shared" si="15"/>
        <v>0.22133896565073094</v>
      </c>
      <c r="AC41">
        <f t="shared" si="16"/>
        <v>6.2287116251733082E-2</v>
      </c>
      <c r="AD41" s="2">
        <f t="shared" si="17"/>
        <v>16983573.570384432</v>
      </c>
      <c r="AE41">
        <f t="shared" si="18"/>
        <v>19219187.687006541</v>
      </c>
      <c r="AF41" s="3">
        <f t="shared" si="19"/>
        <v>26704403.273880873</v>
      </c>
      <c r="AG41">
        <f t="shared" si="20"/>
        <v>2235614.1166221048</v>
      </c>
      <c r="AI41" s="2">
        <f t="shared" si="21"/>
        <v>101.64064388105251</v>
      </c>
      <c r="AJ41" s="2">
        <f t="shared" si="22"/>
        <v>441.95077440927167</v>
      </c>
      <c r="AK41">
        <f t="shared" si="23"/>
        <v>9720829.7034964412</v>
      </c>
      <c r="AO41" s="2">
        <f t="shared" si="24"/>
        <v>117.48157133045952</v>
      </c>
      <c r="AP41" s="3">
        <f t="shared" si="25"/>
        <v>114.63610220963503</v>
      </c>
    </row>
    <row r="42" spans="1:42" x14ac:dyDescent="0.45">
      <c r="A42" s="2">
        <v>0.70099999999999996</v>
      </c>
      <c r="B42">
        <f t="shared" si="27"/>
        <v>40000</v>
      </c>
      <c r="C42">
        <v>0.56868686868686902</v>
      </c>
      <c r="D42" s="3">
        <f t="shared" si="1"/>
        <v>1</v>
      </c>
      <c r="F42" s="2">
        <v>389.97</v>
      </c>
      <c r="G42" s="3">
        <v>5.8511999999999995E-4</v>
      </c>
      <c r="H42">
        <v>1.7591192124955999E-2</v>
      </c>
      <c r="I42">
        <v>0.31350851536555102</v>
      </c>
      <c r="J42">
        <v>-1.0693831438342001E-2</v>
      </c>
      <c r="K42" s="13">
        <v>968.07579999999996</v>
      </c>
      <c r="L42">
        <f t="shared" si="2"/>
        <v>550.53199535353565</v>
      </c>
      <c r="M42">
        <f t="shared" si="3"/>
        <v>88.670687416748507</v>
      </c>
      <c r="N42" s="2">
        <f t="shared" si="4"/>
        <v>0.75183635697622853</v>
      </c>
      <c r="O42">
        <f t="shared" si="5"/>
        <v>0.80046584748421723</v>
      </c>
      <c r="P42">
        <f t="shared" si="6"/>
        <v>0.18502768491749363</v>
      </c>
      <c r="Q42">
        <f t="shared" si="0"/>
        <v>0.23041190165363296</v>
      </c>
      <c r="R42">
        <f t="shared" si="29"/>
        <v>0.2887423455385863</v>
      </c>
      <c r="S42" s="3">
        <f t="shared" si="28"/>
        <v>0.33939402408358099</v>
      </c>
      <c r="T42" s="2">
        <f t="shared" si="9"/>
        <v>0.60082989714069812</v>
      </c>
      <c r="U42" s="3">
        <f t="shared" si="10"/>
        <v>0.12434151572048813</v>
      </c>
      <c r="V42">
        <v>0.56868686868686902</v>
      </c>
      <c r="W42" s="13">
        <f t="shared" si="26"/>
        <v>29.912039537869418</v>
      </c>
      <c r="X42" s="2">
        <f t="shared" si="11"/>
        <v>36.959020228939046</v>
      </c>
      <c r="Y42" s="3">
        <f t="shared" si="12"/>
        <v>51.587891660704315</v>
      </c>
      <c r="Z42" s="13">
        <f t="shared" si="13"/>
        <v>4.8320940408296593</v>
      </c>
      <c r="AA42" s="2">
        <f t="shared" si="14"/>
        <v>0.2069496147116173</v>
      </c>
      <c r="AB42" s="3">
        <f t="shared" si="15"/>
        <v>0.20406886386007336</v>
      </c>
      <c r="AC42">
        <f t="shared" si="16"/>
        <v>5.4332972089407405E-2</v>
      </c>
      <c r="AD42" s="2">
        <f t="shared" si="17"/>
        <v>16467534.8118771</v>
      </c>
      <c r="AE42">
        <f t="shared" si="18"/>
        <v>20347123.152949501</v>
      </c>
      <c r="AF42" s="3">
        <f t="shared" si="19"/>
        <v>28400784.932049569</v>
      </c>
      <c r="AG42">
        <f t="shared" si="20"/>
        <v>3879588.3410723978</v>
      </c>
      <c r="AI42" s="2">
        <f t="shared" si="21"/>
        <v>176.38279077241893</v>
      </c>
      <c r="AJ42" s="2">
        <f t="shared" si="22"/>
        <v>542.53693282300856</v>
      </c>
      <c r="AK42">
        <f t="shared" si="23"/>
        <v>11933250.120172465</v>
      </c>
      <c r="AO42" s="2">
        <f t="shared" si="24"/>
        <v>113.91194306785539</v>
      </c>
      <c r="AP42" s="3">
        <f t="shared" si="25"/>
        <v>111.56829974611691</v>
      </c>
    </row>
    <row r="43" spans="1:42" x14ac:dyDescent="0.45">
      <c r="A43" s="2">
        <v>0.70099999999999996</v>
      </c>
      <c r="B43">
        <f t="shared" si="27"/>
        <v>40000</v>
      </c>
      <c r="C43">
        <v>0.59797979797979794</v>
      </c>
      <c r="D43" s="3">
        <f t="shared" si="1"/>
        <v>1</v>
      </c>
      <c r="F43" s="2">
        <v>389.97</v>
      </c>
      <c r="G43" s="3">
        <v>5.8511999999999995E-4</v>
      </c>
      <c r="H43">
        <v>1.7591192124955999E-2</v>
      </c>
      <c r="I43">
        <v>0.31350851536555102</v>
      </c>
      <c r="J43">
        <v>-1.0693831438342001E-2</v>
      </c>
      <c r="K43" s="13">
        <v>968.07579999999996</v>
      </c>
      <c r="L43">
        <f t="shared" si="2"/>
        <v>578.88977131313129</v>
      </c>
      <c r="M43">
        <f t="shared" si="3"/>
        <v>98.04076674634841</v>
      </c>
      <c r="N43" s="2">
        <f t="shared" si="4"/>
        <v>0.75183635697622853</v>
      </c>
      <c r="O43">
        <f t="shared" si="5"/>
        <v>0.80560466164132727</v>
      </c>
      <c r="P43">
        <f t="shared" si="6"/>
        <v>0.18502768491749363</v>
      </c>
      <c r="Q43">
        <f t="shared" si="0"/>
        <v>0.23563075806699815</v>
      </c>
      <c r="R43">
        <f t="shared" si="29"/>
        <v>0.29001958003354428</v>
      </c>
      <c r="S43" s="3">
        <f t="shared" si="28"/>
        <v>0.34249846287771718</v>
      </c>
      <c r="T43" s="2">
        <f t="shared" si="9"/>
        <v>0.54340660286588682</v>
      </c>
      <c r="U43" s="3">
        <f t="shared" si="10"/>
        <v>0.10435625376797672</v>
      </c>
      <c r="V43">
        <v>0.59797979797979794</v>
      </c>
      <c r="W43" s="13">
        <f t="shared" si="26"/>
        <v>27.757156435054615</v>
      </c>
      <c r="X43" s="2">
        <f t="shared" si="11"/>
        <v>37.122506244293668</v>
      </c>
      <c r="Y43" s="3">
        <f t="shared" si="12"/>
        <v>52.059766357413011</v>
      </c>
      <c r="Z43" s="13">
        <f t="shared" si="13"/>
        <v>5.2072260477468317</v>
      </c>
      <c r="AA43" s="2">
        <f t="shared" si="14"/>
        <v>0.19204082765577274</v>
      </c>
      <c r="AB43" s="3">
        <f t="shared" si="15"/>
        <v>0.18973092782006318</v>
      </c>
      <c r="AC43">
        <f t="shared" si="16"/>
        <v>4.7948949541967809E-2</v>
      </c>
      <c r="AD43" s="2">
        <f t="shared" si="17"/>
        <v>16068333.940991577</v>
      </c>
      <c r="AE43">
        <f t="shared" si="18"/>
        <v>21489839.150329448</v>
      </c>
      <c r="AF43" s="3">
        <f t="shared" si="19"/>
        <v>30136866.241257865</v>
      </c>
      <c r="AG43">
        <f t="shared" si="20"/>
        <v>5421505.2093378743</v>
      </c>
      <c r="AI43" s="2">
        <f t="shared" si="21"/>
        <v>246.48497081159172</v>
      </c>
      <c r="AJ43" s="2">
        <f t="shared" si="22"/>
        <v>639.61605485879033</v>
      </c>
      <c r="AK43">
        <f t="shared" si="23"/>
        <v>14068532.300266288</v>
      </c>
      <c r="AO43" s="2">
        <f t="shared" si="24"/>
        <v>111.15052507806907</v>
      </c>
      <c r="AP43" s="3">
        <f t="shared" si="25"/>
        <v>109.17551851156392</v>
      </c>
    </row>
    <row r="44" spans="1:42" x14ac:dyDescent="0.45">
      <c r="A44" s="2">
        <v>0.70099999999999996</v>
      </c>
      <c r="B44">
        <f t="shared" si="27"/>
        <v>40000</v>
      </c>
      <c r="C44">
        <v>0.62727272727272698</v>
      </c>
      <c r="D44" s="3">
        <f t="shared" si="1"/>
        <v>1</v>
      </c>
      <c r="F44" s="2">
        <v>389.97</v>
      </c>
      <c r="G44" s="3">
        <v>5.8511999999999995E-4</v>
      </c>
      <c r="H44">
        <v>1.7591192124955999E-2</v>
      </c>
      <c r="I44">
        <v>0.31350851536555102</v>
      </c>
      <c r="J44">
        <v>-1.0693831438342001E-2</v>
      </c>
      <c r="K44" s="13">
        <v>968.07579999999996</v>
      </c>
      <c r="L44">
        <f t="shared" si="2"/>
        <v>607.24754727272693</v>
      </c>
      <c r="M44">
        <f t="shared" si="3"/>
        <v>107.88137819812736</v>
      </c>
      <c r="N44" s="2">
        <f t="shared" si="4"/>
        <v>0.75183635697622853</v>
      </c>
      <c r="O44">
        <f t="shared" si="5"/>
        <v>0.81100152880372967</v>
      </c>
      <c r="P44">
        <f t="shared" si="6"/>
        <v>0.18502768491749363</v>
      </c>
      <c r="Q44">
        <f t="shared" si="0"/>
        <v>0.24120201882773692</v>
      </c>
      <c r="R44">
        <f t="shared" si="29"/>
        <v>0.29137005821554629</v>
      </c>
      <c r="S44" s="3">
        <f t="shared" si="28"/>
        <v>0.3457618168950527</v>
      </c>
      <c r="T44" s="2">
        <f t="shared" si="9"/>
        <v>0.49383870404544739</v>
      </c>
      <c r="U44" s="3">
        <f t="shared" si="10"/>
        <v>8.8767575634887241E-2</v>
      </c>
      <c r="V44">
        <v>0.62727272727272698</v>
      </c>
      <c r="W44" s="13">
        <f t="shared" si="26"/>
        <v>25.980687465939372</v>
      </c>
      <c r="X44" s="2">
        <f t="shared" si="11"/>
        <v>37.295367451589925</v>
      </c>
      <c r="Y44" s="3">
        <f t="shared" si="12"/>
        <v>52.555796168048005</v>
      </c>
      <c r="Z44" s="13">
        <f t="shared" si="13"/>
        <v>5.5632780383309237</v>
      </c>
      <c r="AA44" s="2">
        <f t="shared" si="14"/>
        <v>0.17975013887675775</v>
      </c>
      <c r="AB44" s="3">
        <f t="shared" si="15"/>
        <v>0.17785090800679493</v>
      </c>
      <c r="AC44">
        <f t="shared" si="16"/>
        <v>4.2784343193519613E-2</v>
      </c>
      <c r="AD44" s="2">
        <f t="shared" si="17"/>
        <v>15776708.740150964</v>
      </c>
      <c r="AE44">
        <f t="shared" si="18"/>
        <v>22647520.409613073</v>
      </c>
      <c r="AF44" s="3">
        <f t="shared" si="19"/>
        <v>31914378.318012532</v>
      </c>
      <c r="AG44">
        <f t="shared" si="20"/>
        <v>6870811.6694621118</v>
      </c>
      <c r="AI44" s="2">
        <f t="shared" si="21"/>
        <v>312.37668293343665</v>
      </c>
      <c r="AJ44" s="2">
        <f t="shared" si="22"/>
        <v>733.68794481931604</v>
      </c>
      <c r="AK44">
        <f t="shared" si="23"/>
        <v>16137669.57786157</v>
      </c>
      <c r="AO44" s="2">
        <f t="shared" si="24"/>
        <v>109.13324722471675</v>
      </c>
      <c r="AP44" s="3">
        <f t="shared" si="25"/>
        <v>107.43107292203632</v>
      </c>
    </row>
    <row r="45" spans="1:42" x14ac:dyDescent="0.45">
      <c r="A45" s="2">
        <v>0.70099999999999996</v>
      </c>
      <c r="B45">
        <f t="shared" si="27"/>
        <v>40000</v>
      </c>
      <c r="C45">
        <v>0.65656565656565702</v>
      </c>
      <c r="D45" s="3">
        <f t="shared" si="1"/>
        <v>1</v>
      </c>
      <c r="F45" s="2">
        <v>389.97</v>
      </c>
      <c r="G45" s="3">
        <v>5.8511999999999995E-4</v>
      </c>
      <c r="H45">
        <v>1.7591192124955999E-2</v>
      </c>
      <c r="I45">
        <v>0.31350851536555102</v>
      </c>
      <c r="J45">
        <v>-1.0693831438342001E-2</v>
      </c>
      <c r="K45" s="13">
        <v>968.07579999999996</v>
      </c>
      <c r="L45">
        <f t="shared" si="2"/>
        <v>635.6053232323236</v>
      </c>
      <c r="M45">
        <f t="shared" si="3"/>
        <v>118.19252177208573</v>
      </c>
      <c r="N45" s="2">
        <f t="shared" si="4"/>
        <v>0.75183635697622853</v>
      </c>
      <c r="O45">
        <f t="shared" si="5"/>
        <v>0.81665644897142431</v>
      </c>
      <c r="P45">
        <f t="shared" si="6"/>
        <v>0.18502768491749363</v>
      </c>
      <c r="Q45">
        <f t="shared" si="0"/>
        <v>0.24713995836460048</v>
      </c>
      <c r="R45">
        <f t="shared" si="29"/>
        <v>0.29278399030514901</v>
      </c>
      <c r="S45" s="3">
        <f t="shared" si="28"/>
        <v>0.34917972634114214</v>
      </c>
      <c r="T45" s="2">
        <f t="shared" si="9"/>
        <v>0.45075609861962118</v>
      </c>
      <c r="U45" s="3">
        <f t="shared" si="10"/>
        <v>7.6469874996327875E-2</v>
      </c>
      <c r="V45">
        <v>0.65656565656565702</v>
      </c>
      <c r="W45" s="13">
        <f t="shared" si="26"/>
        <v>24.520548062363183</v>
      </c>
      <c r="X45" s="2">
        <f t="shared" si="11"/>
        <v>37.476350759059073</v>
      </c>
      <c r="Y45" s="3">
        <f t="shared" si="12"/>
        <v>53.075318403853608</v>
      </c>
      <c r="Z45" s="13">
        <f t="shared" si="13"/>
        <v>5.8945578064730295</v>
      </c>
      <c r="AA45" s="2">
        <f t="shared" si="14"/>
        <v>0.16964800971191824</v>
      </c>
      <c r="AB45" s="3">
        <f t="shared" si="15"/>
        <v>0.16804803376678668</v>
      </c>
      <c r="AC45">
        <f t="shared" si="16"/>
        <v>3.8578261015288162E-2</v>
      </c>
      <c r="AD45" s="2">
        <f t="shared" si="17"/>
        <v>15585390.877012076</v>
      </c>
      <c r="AE45">
        <f t="shared" si="18"/>
        <v>23820168.037779678</v>
      </c>
      <c r="AF45" s="3">
        <f t="shared" si="19"/>
        <v>33734954.909739859</v>
      </c>
      <c r="AG45">
        <f t="shared" si="20"/>
        <v>8234777.1607676027</v>
      </c>
      <c r="AI45" s="2">
        <f t="shared" si="21"/>
        <v>374.38842715041068</v>
      </c>
      <c r="AJ45" s="2">
        <f t="shared" si="22"/>
        <v>825.15732958160925</v>
      </c>
      <c r="AK45">
        <f t="shared" si="23"/>
        <v>18149564.032727789</v>
      </c>
      <c r="AO45" s="2">
        <f t="shared" si="24"/>
        <v>107.80983180263291</v>
      </c>
      <c r="AP45" s="3">
        <f t="shared" si="25"/>
        <v>106.31020214514473</v>
      </c>
    </row>
    <row r="46" spans="1:42" ht="14.65" thickBot="1" x14ac:dyDescent="0.5">
      <c r="A46" s="2">
        <v>0.70099999999999996</v>
      </c>
      <c r="B46" s="4">
        <f t="shared" si="27"/>
        <v>40000</v>
      </c>
      <c r="C46" s="4">
        <v>0.68585858585858595</v>
      </c>
      <c r="D46" s="5">
        <f t="shared" si="1"/>
        <v>1</v>
      </c>
      <c r="F46" s="2">
        <v>389.97</v>
      </c>
      <c r="G46" s="3">
        <v>5.8511999999999995E-4</v>
      </c>
      <c r="H46">
        <v>1.7591192124955999E-2</v>
      </c>
      <c r="I46">
        <v>0.31350851536555102</v>
      </c>
      <c r="J46">
        <v>-1.0693831438342001E-2</v>
      </c>
      <c r="K46" s="13">
        <v>968.07579999999996</v>
      </c>
      <c r="L46">
        <f t="shared" si="2"/>
        <v>663.96309919191924</v>
      </c>
      <c r="M46">
        <f t="shared" si="3"/>
        <v>128.97419746822277</v>
      </c>
      <c r="N46" s="2">
        <f t="shared" si="4"/>
        <v>0.75183635697622853</v>
      </c>
      <c r="O46">
        <f t="shared" si="5"/>
        <v>0.82256942214441087</v>
      </c>
      <c r="P46" s="4">
        <f t="shared" si="6"/>
        <v>0.18502768491749363</v>
      </c>
      <c r="Q46">
        <f t="shared" si="0"/>
        <v>0.25345977646227497</v>
      </c>
      <c r="R46">
        <f>Q46*(1-0.3*C46^1-1.7*((O46-1)/O46))</f>
        <v>0.29425090555561567</v>
      </c>
      <c r="S46" s="3">
        <f t="shared" si="28"/>
        <v>0.35274750244216657</v>
      </c>
      <c r="T46" s="2">
        <f t="shared" si="9"/>
        <v>0.41307487114332597</v>
      </c>
      <c r="U46" s="3">
        <f t="shared" si="10"/>
        <v>6.6668063280408016E-2</v>
      </c>
      <c r="V46" s="4">
        <v>0.68585858585858595</v>
      </c>
      <c r="W46" s="13">
        <f t="shared" si="26"/>
        <v>23.327621867007117</v>
      </c>
      <c r="X46" s="2">
        <f t="shared" si="11"/>
        <v>37.664115911118806</v>
      </c>
      <c r="Y46" s="3">
        <f t="shared" si="12"/>
        <v>53.61762037120932</v>
      </c>
      <c r="Z46" s="13">
        <f t="shared" si="13"/>
        <v>6.1959932660098405</v>
      </c>
      <c r="AA46" s="2">
        <f t="shared" si="14"/>
        <v>0.16139462343928437</v>
      </c>
      <c r="AB46" s="3">
        <f t="shared" si="15"/>
        <v>0.16001477780466314</v>
      </c>
      <c r="AC46">
        <f t="shared" si="16"/>
        <v>3.5133913157821807E-2</v>
      </c>
      <c r="AD46" s="2">
        <f t="shared" si="17"/>
        <v>15488680.111595232</v>
      </c>
      <c r="AE46">
        <f t="shared" si="18"/>
        <v>25007583.128670119</v>
      </c>
      <c r="AF46" s="3">
        <f t="shared" si="19"/>
        <v>35600121.392963916</v>
      </c>
      <c r="AG46">
        <f t="shared" si="20"/>
        <v>9518903.0170748867</v>
      </c>
      <c r="AI46" s="2">
        <f t="shared" si="21"/>
        <v>432.77031778571768</v>
      </c>
      <c r="AJ46" s="2">
        <f t="shared" si="22"/>
        <v>914.35271678409379</v>
      </c>
      <c r="AK46">
        <f t="shared" si="23"/>
        <v>20111441.281368691</v>
      </c>
      <c r="AO46" s="2">
        <f t="shared" si="24"/>
        <v>107.1408481733245</v>
      </c>
      <c r="AP46" s="3">
        <f t="shared" si="25"/>
        <v>105.79109680189069</v>
      </c>
    </row>
    <row r="47" spans="1:42" ht="14.65" thickBot="1" x14ac:dyDescent="0.5">
      <c r="A47" s="2">
        <v>0.70099999999999996</v>
      </c>
      <c r="B47" s="4">
        <f t="shared" si="27"/>
        <v>40000</v>
      </c>
      <c r="C47">
        <v>0.71515151515151498</v>
      </c>
      <c r="D47" s="5">
        <f t="shared" si="1"/>
        <v>1</v>
      </c>
      <c r="F47" s="2">
        <v>389.97</v>
      </c>
      <c r="G47" s="3">
        <v>5.8511999999999995E-4</v>
      </c>
      <c r="H47">
        <v>1.7591192124955999E-2</v>
      </c>
      <c r="I47">
        <v>0.31350851536555102</v>
      </c>
      <c r="J47">
        <v>-1.0693831438342001E-2</v>
      </c>
      <c r="K47" s="13">
        <v>968.07579999999996</v>
      </c>
      <c r="L47">
        <f t="shared" si="2"/>
        <v>692.320875151515</v>
      </c>
      <c r="M47">
        <f t="shared" si="3"/>
        <v>140.22640528653892</v>
      </c>
      <c r="N47" s="2">
        <f t="shared" si="4"/>
        <v>0.75183635697622853</v>
      </c>
      <c r="O47">
        <f t="shared" si="5"/>
        <v>0.82874044832268945</v>
      </c>
      <c r="P47" s="4">
        <f t="shared" si="6"/>
        <v>0.18502768491749363</v>
      </c>
      <c r="Q47">
        <f t="shared" si="0"/>
        <v>0.26017763354146761</v>
      </c>
      <c r="R47">
        <f t="shared" ref="R47:R110" si="30">Q47*(1-0.3*C47^1-1.7*((O47-1)/O47))</f>
        <v>0.29575958885071563</v>
      </c>
      <c r="S47" s="3">
        <f t="shared" si="28"/>
        <v>0.3564600785062973</v>
      </c>
      <c r="T47" s="2">
        <f t="shared" si="9"/>
        <v>0.37992844422657562</v>
      </c>
      <c r="U47" s="3">
        <f t="shared" si="10"/>
        <v>5.8781883266124345E-2</v>
      </c>
      <c r="V47">
        <v>0.71515151515151498</v>
      </c>
      <c r="W47" s="13">
        <f t="shared" si="26"/>
        <v>22.362640941653204</v>
      </c>
      <c r="X47" s="2">
        <f t="shared" si="11"/>
        <v>37.8572273728916</v>
      </c>
      <c r="Y47" s="3">
        <f t="shared" si="12"/>
        <v>54.181931932957191</v>
      </c>
      <c r="Z47" s="13">
        <f t="shared" si="13"/>
        <v>6.4633595100469696</v>
      </c>
      <c r="AA47" s="2">
        <f t="shared" si="14"/>
        <v>0.15471830066787248</v>
      </c>
      <c r="AB47" s="3">
        <f t="shared" si="15"/>
        <v>0.15350119810841531</v>
      </c>
      <c r="AC47">
        <f t="shared" si="16"/>
        <v>3.2300977399762967E-2</v>
      </c>
      <c r="AD47" s="2">
        <f t="shared" si="17"/>
        <v>15482123.147424445</v>
      </c>
      <c r="AE47">
        <f t="shared" si="18"/>
        <v>26209348.785610199</v>
      </c>
      <c r="AF47" s="3">
        <f t="shared" si="19"/>
        <v>37511282.533224739</v>
      </c>
      <c r="AG47">
        <f t="shared" si="20"/>
        <v>10727225.638185754</v>
      </c>
      <c r="AI47" s="2">
        <f t="shared" si="21"/>
        <v>487.70586695433548</v>
      </c>
      <c r="AJ47" s="2">
        <f t="shared" si="22"/>
        <v>1001.5404391497453</v>
      </c>
      <c r="AK47">
        <f t="shared" si="23"/>
        <v>22029159.385800291</v>
      </c>
      <c r="AO47" s="2">
        <f t="shared" si="24"/>
        <v>107.09549126120295</v>
      </c>
      <c r="AP47" s="3">
        <f t="shared" si="25"/>
        <v>105.8552338023115</v>
      </c>
    </row>
    <row r="48" spans="1:42" ht="14.65" thickBot="1" x14ac:dyDescent="0.5">
      <c r="A48" s="2">
        <v>0.70099999999999996</v>
      </c>
      <c r="B48" s="4">
        <f t="shared" si="27"/>
        <v>40000</v>
      </c>
      <c r="C48">
        <v>0.74444444444444402</v>
      </c>
      <c r="D48" s="5">
        <f t="shared" si="1"/>
        <v>1</v>
      </c>
      <c r="F48" s="2">
        <v>389.97</v>
      </c>
      <c r="G48" s="3">
        <v>5.8511999999999995E-4</v>
      </c>
      <c r="H48">
        <v>1.7591192124955999E-2</v>
      </c>
      <c r="I48">
        <v>0.31350851536555102</v>
      </c>
      <c r="J48">
        <v>-1.0693831438342001E-2</v>
      </c>
      <c r="K48" s="13">
        <v>968.07579999999996</v>
      </c>
      <c r="L48">
        <f t="shared" si="2"/>
        <v>720.67865111111064</v>
      </c>
      <c r="M48">
        <f t="shared" si="3"/>
        <v>151.94914522703402</v>
      </c>
      <c r="N48" s="2">
        <f t="shared" si="4"/>
        <v>0.75183635697622853</v>
      </c>
      <c r="O48">
        <f t="shared" si="5"/>
        <v>0.83516952750626028</v>
      </c>
      <c r="P48" s="4">
        <f t="shared" si="6"/>
        <v>0.18502768491749363</v>
      </c>
      <c r="Q48">
        <f t="shared" si="0"/>
        <v>0.2673106878304381</v>
      </c>
      <c r="R48">
        <f t="shared" si="30"/>
        <v>0.29729801405204936</v>
      </c>
      <c r="S48" s="3">
        <f t="shared" si="28"/>
        <v>0.36031196072611482</v>
      </c>
      <c r="T48" s="2">
        <f t="shared" si="9"/>
        <v>0.35061730633889349</v>
      </c>
      <c r="U48" s="3">
        <f t="shared" si="10"/>
        <v>5.238213390735072E-2</v>
      </c>
      <c r="V48">
        <v>0.74444444444444402</v>
      </c>
      <c r="W48" s="13">
        <f t="shared" si="26"/>
        <v>21.593907741594009</v>
      </c>
      <c r="X48" s="2">
        <f t="shared" si="11"/>
        <v>38.054145798662319</v>
      </c>
      <c r="Y48" s="3">
        <f t="shared" si="12"/>
        <v>54.767418030369456</v>
      </c>
      <c r="Z48" s="13">
        <f t="shared" si="13"/>
        <v>6.6934521407439611</v>
      </c>
      <c r="AA48" s="2">
        <f t="shared" si="14"/>
        <v>0.14939973857628155</v>
      </c>
      <c r="AB48" s="3">
        <f t="shared" si="15"/>
        <v>0.148302843240631</v>
      </c>
      <c r="AC48">
        <f t="shared" si="16"/>
        <v>2.9963295996490908E-2</v>
      </c>
      <c r="AD48" s="2">
        <f t="shared" si="17"/>
        <v>15562268.303429741</v>
      </c>
      <c r="AE48">
        <f t="shared" si="18"/>
        <v>27424810.463365499</v>
      </c>
      <c r="AF48" s="3">
        <f t="shared" si="19"/>
        <v>39469708.95096498</v>
      </c>
      <c r="AG48">
        <f t="shared" si="20"/>
        <v>11862542.159935759</v>
      </c>
      <c r="AI48" s="2">
        <f t="shared" si="21"/>
        <v>539.32224449529599</v>
      </c>
      <c r="AJ48" s="2">
        <f t="shared" si="22"/>
        <v>1086.9351928386827</v>
      </c>
      <c r="AK48">
        <f t="shared" si="23"/>
        <v>23907440.647535238</v>
      </c>
      <c r="AO48" s="2">
        <f t="shared" si="24"/>
        <v>107.64988452967536</v>
      </c>
      <c r="AP48" s="3">
        <f t="shared" si="25"/>
        <v>106.48734671703764</v>
      </c>
    </row>
    <row r="49" spans="1:47" ht="14.65" thickBot="1" x14ac:dyDescent="0.5">
      <c r="A49" s="2">
        <v>0.70099999999999996</v>
      </c>
      <c r="B49" s="4">
        <f t="shared" si="27"/>
        <v>40000</v>
      </c>
      <c r="C49">
        <v>0.77373737373737395</v>
      </c>
      <c r="D49" s="5">
        <f t="shared" si="1"/>
        <v>1</v>
      </c>
      <c r="F49" s="2">
        <v>389.97</v>
      </c>
      <c r="G49" s="3">
        <v>5.8511999999999995E-4</v>
      </c>
      <c r="H49">
        <v>1.7591192124955999E-2</v>
      </c>
      <c r="I49">
        <v>0.31350851536555102</v>
      </c>
      <c r="J49">
        <v>-1.0693831438342001E-2</v>
      </c>
      <c r="K49" s="13">
        <v>968.07579999999996</v>
      </c>
      <c r="L49">
        <f t="shared" si="2"/>
        <v>749.03642707070719</v>
      </c>
      <c r="M49">
        <f t="shared" si="3"/>
        <v>164.14241728970862</v>
      </c>
      <c r="N49" s="2">
        <f t="shared" si="4"/>
        <v>0.75183635697622853</v>
      </c>
      <c r="O49">
        <f t="shared" si="5"/>
        <v>0.84185665969512335</v>
      </c>
      <c r="P49" s="4">
        <f t="shared" si="6"/>
        <v>0.18502768491749363</v>
      </c>
      <c r="Q49">
        <f t="shared" si="0"/>
        <v>0.27487713446374284</v>
      </c>
      <c r="R49">
        <f t="shared" si="30"/>
        <v>0.29885327393732891</v>
      </c>
      <c r="S49" s="3">
        <f t="shared" si="28"/>
        <v>0.36429717825016661</v>
      </c>
      <c r="T49" s="2">
        <f t="shared" si="9"/>
        <v>0.32457180099869459</v>
      </c>
      <c r="U49" s="3">
        <f t="shared" si="10"/>
        <v>4.7147411792516969E-2</v>
      </c>
      <c r="V49">
        <v>0.77373737373737395</v>
      </c>
      <c r="W49" s="13">
        <f t="shared" si="26"/>
        <v>20.995608951385535</v>
      </c>
      <c r="X49" s="2">
        <f t="shared" si="11"/>
        <v>38.253219063978101</v>
      </c>
      <c r="Y49" s="3">
        <f t="shared" si="12"/>
        <v>55.373171094025324</v>
      </c>
      <c r="Z49" s="13">
        <f t="shared" si="13"/>
        <v>6.8841912770747093</v>
      </c>
      <c r="AA49" s="2">
        <f t="shared" si="14"/>
        <v>0.1452603450067019</v>
      </c>
      <c r="AB49" s="3">
        <f t="shared" si="15"/>
        <v>0.14425139624503433</v>
      </c>
      <c r="AC49">
        <f t="shared" si="16"/>
        <v>2.8030157403017199E-2</v>
      </c>
      <c r="AD49" s="2">
        <f t="shared" si="17"/>
        <v>15726475.913119579</v>
      </c>
      <c r="AE49">
        <f t="shared" si="18"/>
        <v>28653054.531635217</v>
      </c>
      <c r="AF49" s="3">
        <f t="shared" si="19"/>
        <v>41476522.231843695</v>
      </c>
      <c r="AG49">
        <f t="shared" si="20"/>
        <v>12926578.618515644</v>
      </c>
      <c r="AI49" s="2">
        <f t="shared" si="21"/>
        <v>587.69792344582186</v>
      </c>
      <c r="AJ49" s="2">
        <f t="shared" si="22"/>
        <v>1170.7079805689248</v>
      </c>
      <c r="AK49">
        <f t="shared" si="23"/>
        <v>25750046.318724114</v>
      </c>
      <c r="AO49" s="2">
        <f t="shared" si="24"/>
        <v>108.78576844308336</v>
      </c>
      <c r="AP49" s="3">
        <f t="shared" si="25"/>
        <v>107.67521590152067</v>
      </c>
    </row>
    <row r="50" spans="1:47" ht="14.65" thickBot="1" x14ac:dyDescent="0.5">
      <c r="A50" s="2">
        <v>0.70099999999999996</v>
      </c>
      <c r="B50" s="4">
        <f t="shared" si="27"/>
        <v>40000</v>
      </c>
      <c r="C50">
        <v>0.80303030303030298</v>
      </c>
      <c r="D50" s="5">
        <f t="shared" si="1"/>
        <v>1</v>
      </c>
      <c r="F50" s="2">
        <v>389.97</v>
      </c>
      <c r="G50" s="3">
        <v>5.8511999999999995E-4</v>
      </c>
      <c r="H50">
        <v>1.7591192124955999E-2</v>
      </c>
      <c r="I50">
        <v>0.31350851536555102</v>
      </c>
      <c r="J50">
        <v>-1.0693831438342001E-2</v>
      </c>
      <c r="K50" s="13">
        <v>968.07579999999996</v>
      </c>
      <c r="L50">
        <f t="shared" si="2"/>
        <v>777.39420303030295</v>
      </c>
      <c r="M50">
        <f t="shared" si="3"/>
        <v>176.80622147456185</v>
      </c>
      <c r="N50" s="2">
        <f t="shared" si="4"/>
        <v>0.75183635697622853</v>
      </c>
      <c r="O50">
        <f t="shared" si="5"/>
        <v>0.84880184488927846</v>
      </c>
      <c r="P50" s="4">
        <f t="shared" si="6"/>
        <v>0.18502768491749363</v>
      </c>
      <c r="Q50">
        <f t="shared" si="0"/>
        <v>0.28289624654514017</v>
      </c>
      <c r="R50">
        <f t="shared" si="30"/>
        <v>0.3004115065673344</v>
      </c>
      <c r="S50" s="3">
        <f t="shared" si="28"/>
        <v>0.36840923214665272</v>
      </c>
      <c r="T50" s="2">
        <f t="shared" si="9"/>
        <v>0.30132423822916848</v>
      </c>
      <c r="U50" s="3">
        <f t="shared" si="10"/>
        <v>4.283429364336807E-2</v>
      </c>
      <c r="V50">
        <v>0.80303030303030298</v>
      </c>
      <c r="W50" s="13">
        <f t="shared" si="26"/>
        <v>20.546551748174533</v>
      </c>
      <c r="X50" s="2">
        <f t="shared" si="11"/>
        <v>38.452672840618803</v>
      </c>
      <c r="Y50" s="3">
        <f t="shared" si="12"/>
        <v>55.998203286291215</v>
      </c>
      <c r="Z50" s="13">
        <f t="shared" si="13"/>
        <v>7.0346494035351457</v>
      </c>
      <c r="AA50" s="2">
        <f t="shared" si="14"/>
        <v>0.14215349516885187</v>
      </c>
      <c r="AB50" s="3">
        <f t="shared" si="15"/>
        <v>0.14120741204180565</v>
      </c>
      <c r="AC50">
        <f t="shared" si="16"/>
        <v>2.6430029537245759E-2</v>
      </c>
      <c r="AD50" s="2">
        <f t="shared" si="17"/>
        <v>15972770.221293017</v>
      </c>
      <c r="AE50">
        <f t="shared" si="18"/>
        <v>29892884.957317829</v>
      </c>
      <c r="AF50" s="3">
        <f t="shared" si="19"/>
        <v>43532678.61487525</v>
      </c>
      <c r="AG50">
        <f t="shared" si="20"/>
        <v>13920114.736024812</v>
      </c>
      <c r="AI50" s="2">
        <f t="shared" si="21"/>
        <v>632.86835332989051</v>
      </c>
      <c r="AJ50" s="2">
        <f t="shared" si="22"/>
        <v>1252.9921034221227</v>
      </c>
      <c r="AK50">
        <f t="shared" si="23"/>
        <v>27559908.393582232</v>
      </c>
      <c r="AO50" s="2">
        <f t="shared" si="24"/>
        <v>110.48947598225641</v>
      </c>
      <c r="AP50" s="3">
        <f t="shared" si="25"/>
        <v>109.40938061032396</v>
      </c>
      <c r="AU50" t="s">
        <v>9</v>
      </c>
    </row>
    <row r="51" spans="1:47" ht="14.65" thickBot="1" x14ac:dyDescent="0.5">
      <c r="A51" s="2">
        <v>0.70099999999999996</v>
      </c>
      <c r="B51" s="4">
        <f t="shared" si="27"/>
        <v>40000</v>
      </c>
      <c r="C51">
        <v>0.83232323232323202</v>
      </c>
      <c r="D51" s="5">
        <f t="shared" si="1"/>
        <v>1</v>
      </c>
      <c r="F51" s="2">
        <v>389.97</v>
      </c>
      <c r="G51" s="3">
        <v>5.8511999999999995E-4</v>
      </c>
      <c r="H51">
        <v>1.7591192124955999E-2</v>
      </c>
      <c r="I51">
        <v>0.31350851536555102</v>
      </c>
      <c r="J51">
        <v>-1.0693831438342001E-2</v>
      </c>
      <c r="K51" s="13">
        <v>968.07579999999996</v>
      </c>
      <c r="L51">
        <f t="shared" si="2"/>
        <v>805.7519789898987</v>
      </c>
      <c r="M51">
        <f t="shared" si="3"/>
        <v>189.94055778159415</v>
      </c>
      <c r="N51" s="2">
        <f t="shared" si="4"/>
        <v>0.75183635697622853</v>
      </c>
      <c r="O51">
        <f t="shared" si="5"/>
        <v>0.85600508308872547</v>
      </c>
      <c r="P51" s="4">
        <f t="shared" si="6"/>
        <v>0.18502768491749363</v>
      </c>
      <c r="Q51">
        <f t="shared" si="0"/>
        <v>0.29138841821274936</v>
      </c>
      <c r="R51">
        <f t="shared" si="30"/>
        <v>0.30195781791552623</v>
      </c>
      <c r="S51" s="3">
        <f t="shared" si="28"/>
        <v>0.37264104295121991</v>
      </c>
      <c r="T51" s="2">
        <f t="shared" si="9"/>
        <v>0.28048775165365242</v>
      </c>
      <c r="U51" s="3">
        <f t="shared" si="10"/>
        <v>3.9256477583322694E-2</v>
      </c>
      <c r="V51">
        <v>0.83232323232323202</v>
      </c>
      <c r="W51" s="13">
        <f t="shared" si="26"/>
        <v>20.229205735769114</v>
      </c>
      <c r="X51" s="2">
        <f t="shared" si="11"/>
        <v>38.650600693187357</v>
      </c>
      <c r="Y51" s="3">
        <f t="shared" si="12"/>
        <v>56.641438528585432</v>
      </c>
      <c r="Z51" s="13">
        <f t="shared" si="13"/>
        <v>7.1450055868693596</v>
      </c>
      <c r="AA51" s="2">
        <f t="shared" si="14"/>
        <v>0.13995790315933929</v>
      </c>
      <c r="AB51" s="3">
        <f t="shared" si="15"/>
        <v>0.13905465363981057</v>
      </c>
      <c r="AC51">
        <f t="shared" si="16"/>
        <v>2.510599571983517E-2</v>
      </c>
      <c r="AD51" s="2">
        <f t="shared" si="17"/>
        <v>16299722.554989774</v>
      </c>
      <c r="AE51">
        <f t="shared" si="18"/>
        <v>31142797.997684065</v>
      </c>
      <c r="AF51" s="3">
        <f t="shared" si="19"/>
        <v>45638951.187242404</v>
      </c>
      <c r="AG51">
        <f t="shared" si="20"/>
        <v>14843075.442694291</v>
      </c>
      <c r="AI51" s="2">
        <f t="shared" si="21"/>
        <v>674.83012115256804</v>
      </c>
      <c r="AJ51" s="2">
        <f t="shared" si="22"/>
        <v>1333.8876628947494</v>
      </c>
      <c r="AK51">
        <f t="shared" si="23"/>
        <v>29339228.63225263</v>
      </c>
      <c r="AO51" s="2">
        <f t="shared" si="24"/>
        <v>112.75112449537238</v>
      </c>
      <c r="AP51" s="3">
        <f t="shared" si="25"/>
        <v>111.68282856892056</v>
      </c>
      <c r="AU51">
        <v>50000</v>
      </c>
    </row>
    <row r="52" spans="1:47" ht="14.65" thickBot="1" x14ac:dyDescent="0.5">
      <c r="A52" s="2">
        <v>0.70099999999999996</v>
      </c>
      <c r="B52" s="4">
        <f t="shared" si="27"/>
        <v>40000</v>
      </c>
      <c r="C52">
        <v>0.86161616161616195</v>
      </c>
      <c r="D52" s="5">
        <f t="shared" si="1"/>
        <v>1</v>
      </c>
      <c r="F52" s="2">
        <v>389.97</v>
      </c>
      <c r="G52" s="3">
        <v>5.8511999999999995E-4</v>
      </c>
      <c r="H52">
        <v>1.7591192124955999E-2</v>
      </c>
      <c r="I52">
        <v>0.31350851536555102</v>
      </c>
      <c r="J52">
        <v>-1.0693831438342001E-2</v>
      </c>
      <c r="K52" s="13">
        <v>968.07579999999996</v>
      </c>
      <c r="L52">
        <f t="shared" si="2"/>
        <v>834.10975494949525</v>
      </c>
      <c r="M52">
        <f t="shared" si="3"/>
        <v>203.54542621080591</v>
      </c>
      <c r="N52" s="2">
        <f t="shared" si="4"/>
        <v>0.75183635697622853</v>
      </c>
      <c r="O52">
        <f t="shared" si="5"/>
        <v>0.86346637429346484</v>
      </c>
      <c r="P52" s="4">
        <f t="shared" si="6"/>
        <v>0.18502768491749363</v>
      </c>
      <c r="Q52">
        <f t="shared" si="0"/>
        <v>0.30037520974565235</v>
      </c>
      <c r="R52">
        <f t="shared" si="30"/>
        <v>0.30347620059051611</v>
      </c>
      <c r="S52" s="3">
        <f t="shared" si="28"/>
        <v>0.37698489654156192</v>
      </c>
      <c r="T52" s="2">
        <f t="shared" si="9"/>
        <v>0.26174009896357797</v>
      </c>
      <c r="U52" s="3">
        <f t="shared" si="10"/>
        <v>3.6269991189233644E-2</v>
      </c>
      <c r="V52">
        <v>0.86161616161616195</v>
      </c>
      <c r="W52" s="13">
        <f t="shared" si="26"/>
        <v>20.028968881840363</v>
      </c>
      <c r="X52" s="2">
        <f t="shared" si="11"/>
        <v>38.844953675586062</v>
      </c>
      <c r="Y52" s="3">
        <f t="shared" si="12"/>
        <v>57.301704274317409</v>
      </c>
      <c r="Z52" s="13">
        <f t="shared" si="13"/>
        <v>7.2164367947592085</v>
      </c>
      <c r="AA52" s="2">
        <f t="shared" si="14"/>
        <v>0.13857254327041704</v>
      </c>
      <c r="AB52" s="3">
        <f t="shared" si="15"/>
        <v>0.13769565152909391</v>
      </c>
      <c r="AC52">
        <f t="shared" si="16"/>
        <v>2.401239017166644E-2</v>
      </c>
      <c r="AD52" s="2">
        <f t="shared" si="17"/>
        <v>16706358.325922931</v>
      </c>
      <c r="AE52">
        <f t="shared" si="18"/>
        <v>32400954.791367587</v>
      </c>
      <c r="AF52" s="3">
        <f t="shared" si="19"/>
        <v>47795910.510439336</v>
      </c>
      <c r="AG52">
        <f t="shared" si="20"/>
        <v>15694596.465444652</v>
      </c>
      <c r="AI52" s="2">
        <f t="shared" si="21"/>
        <v>713.54393333826408</v>
      </c>
      <c r="AJ52" s="2">
        <f t="shared" si="22"/>
        <v>1413.4649081489815</v>
      </c>
      <c r="AK52">
        <f t="shared" si="23"/>
        <v>31089552.184516404</v>
      </c>
      <c r="AO52" s="2">
        <f t="shared" si="24"/>
        <v>115.56397239987371</v>
      </c>
      <c r="AP52" s="3">
        <f t="shared" si="25"/>
        <v>114.4906919123632</v>
      </c>
      <c r="AU52">
        <v>51000</v>
      </c>
    </row>
    <row r="53" spans="1:47" ht="14.65" thickBot="1" x14ac:dyDescent="0.5">
      <c r="A53" s="2">
        <v>0.70099999999999996</v>
      </c>
      <c r="B53" s="4">
        <f t="shared" si="27"/>
        <v>40000</v>
      </c>
      <c r="C53">
        <v>0.89090909090909098</v>
      </c>
      <c r="D53" s="5">
        <f t="shared" si="1"/>
        <v>1</v>
      </c>
      <c r="F53" s="2">
        <v>389.97</v>
      </c>
      <c r="G53" s="3">
        <v>5.8511999999999995E-4</v>
      </c>
      <c r="H53">
        <v>1.7591192124955999E-2</v>
      </c>
      <c r="I53">
        <v>0.31350851536555102</v>
      </c>
      <c r="J53">
        <v>-1.0693831438342001E-2</v>
      </c>
      <c r="K53" s="13">
        <v>968.07579999999996</v>
      </c>
      <c r="L53">
        <f t="shared" si="2"/>
        <v>862.4675309090909</v>
      </c>
      <c r="M53">
        <f t="shared" si="3"/>
        <v>217.62082676219626</v>
      </c>
      <c r="N53" s="2">
        <f t="shared" si="4"/>
        <v>0.75183635697622853</v>
      </c>
      <c r="O53">
        <f t="shared" si="5"/>
        <v>0.87118571850349624</v>
      </c>
      <c r="P53" s="4">
        <f t="shared" si="6"/>
        <v>0.18502768491749363</v>
      </c>
      <c r="Q53">
        <f t="shared" si="0"/>
        <v>0.30987939475219534</v>
      </c>
      <c r="R53">
        <f t="shared" si="30"/>
        <v>0.30494944847780719</v>
      </c>
      <c r="S53" s="3">
        <f t="shared" si="28"/>
        <v>0.38143238811923763</v>
      </c>
      <c r="T53" s="2">
        <f t="shared" si="9"/>
        <v>0.24481112765101753</v>
      </c>
      <c r="U53" s="3">
        <f t="shared" si="10"/>
        <v>3.3762568596193823E-2</v>
      </c>
      <c r="V53">
        <v>0.89090909090909098</v>
      </c>
      <c r="W53" s="13">
        <f t="shared" si="26"/>
        <v>19.933599542291219</v>
      </c>
      <c r="X53" s="2">
        <f t="shared" si="11"/>
        <v>39.033529405159321</v>
      </c>
      <c r="Y53" s="3">
        <f t="shared" si="12"/>
        <v>57.977722994124115</v>
      </c>
      <c r="Z53" s="13">
        <f t="shared" si="13"/>
        <v>7.2509627623123434</v>
      </c>
      <c r="AA53" s="2">
        <f t="shared" si="14"/>
        <v>0.13791272039040212</v>
      </c>
      <c r="AB53" s="3">
        <f t="shared" si="15"/>
        <v>0.13704820209332536</v>
      </c>
      <c r="AC53">
        <f t="shared" si="16"/>
        <v>2.311228982878932E-2</v>
      </c>
      <c r="AD53" s="2">
        <f>W53*L53*1000</f>
        <v>17192082.379370492</v>
      </c>
      <c r="AE53">
        <f t="shared" si="18"/>
        <v>33665151.728735149</v>
      </c>
      <c r="AF53" s="3">
        <f t="shared" si="19"/>
        <v>50003903.598473452</v>
      </c>
      <c r="AG53">
        <f t="shared" si="20"/>
        <v>16473069.349364664</v>
      </c>
      <c r="AI53" s="2">
        <f t="shared" si="21"/>
        <v>748.93666260100588</v>
      </c>
      <c r="AJ53" s="2">
        <f t="shared" si="22"/>
        <v>1491.7666742320619</v>
      </c>
      <c r="AK53">
        <f t="shared" si="23"/>
        <v>32811821.21910296</v>
      </c>
      <c r="AO53" s="2">
        <f t="shared" si="24"/>
        <v>118.92390279352925</v>
      </c>
      <c r="AP53" s="3">
        <f t="shared" si="25"/>
        <v>117.82996344283669</v>
      </c>
      <c r="AU53">
        <v>52000</v>
      </c>
    </row>
    <row r="54" spans="1:47" ht="14.65" thickBot="1" x14ac:dyDescent="0.5">
      <c r="A54" s="2">
        <v>0.70099999999999996</v>
      </c>
      <c r="B54" s="4">
        <f t="shared" si="27"/>
        <v>40000</v>
      </c>
      <c r="C54">
        <v>0.92020202020202002</v>
      </c>
      <c r="D54" s="5">
        <f t="shared" si="1"/>
        <v>1</v>
      </c>
      <c r="F54" s="2">
        <v>389.97</v>
      </c>
      <c r="G54" s="3">
        <v>5.8511999999999995E-4</v>
      </c>
      <c r="H54">
        <v>1.7591192124955999E-2</v>
      </c>
      <c r="I54">
        <v>0</v>
      </c>
      <c r="J54">
        <v>0</v>
      </c>
      <c r="K54" s="13">
        <v>968.07579999999996</v>
      </c>
      <c r="L54">
        <f t="shared" si="2"/>
        <v>890.82530686868665</v>
      </c>
      <c r="M54">
        <f t="shared" si="3"/>
        <v>232.1667594357657</v>
      </c>
      <c r="N54" s="2">
        <f t="shared" si="4"/>
        <v>0.75183635697622853</v>
      </c>
      <c r="O54">
        <f t="shared" si="5"/>
        <v>0.87916311571881967</v>
      </c>
      <c r="P54" s="4">
        <f t="shared" si="6"/>
        <v>0.18502768491749363</v>
      </c>
      <c r="Q54">
        <f t="shared" si="0"/>
        <v>0.319925009481275</v>
      </c>
      <c r="R54">
        <f t="shared" si="30"/>
        <v>0.30635906712338973</v>
      </c>
      <c r="S54" s="3">
        <f t="shared" si="28"/>
        <v>0.38597436410739844</v>
      </c>
      <c r="T54" s="2">
        <f t="shared" si="9"/>
        <v>0.22947298799137539</v>
      </c>
      <c r="U54" s="3">
        <f t="shared" si="10"/>
        <v>1.7591192124955999E-2</v>
      </c>
      <c r="V54">
        <v>0.92020202020202002</v>
      </c>
      <c r="W54" s="13">
        <v>21.089833333333299</v>
      </c>
      <c r="X54" s="2">
        <f t="shared" si="11"/>
        <v>39.213960591793885</v>
      </c>
      <c r="Y54" s="3">
        <f t="shared" si="12"/>
        <v>58.668103344324564</v>
      </c>
      <c r="Z54" s="13">
        <f t="shared" si="13"/>
        <v>13.044766173966698</v>
      </c>
      <c r="AA54" s="2">
        <f t="shared" si="14"/>
        <v>7.6659097347079277E-2</v>
      </c>
      <c r="AB54" s="3">
        <f t="shared" si="15"/>
        <v>7.6509459223210133E-2</v>
      </c>
      <c r="AC54">
        <f t="shared" si="16"/>
        <v>2.367448833202274E-2</v>
      </c>
      <c r="AD54" s="17">
        <v>18542658.698333301</v>
      </c>
      <c r="AE54">
        <f t="shared" si="18"/>
        <v>34932788.477721371</v>
      </c>
      <c r="AF54" s="3">
        <f t="shared" si="19"/>
        <v>52263031.16511175</v>
      </c>
      <c r="AG54">
        <f t="shared" si="20"/>
        <v>16145431.226745278</v>
      </c>
      <c r="AI54" s="2">
        <f t="shared" si="21"/>
        <v>734.04082279778879</v>
      </c>
      <c r="AJ54" s="2">
        <f t="shared" si="22"/>
        <v>1521.9482761747288</v>
      </c>
      <c r="AK54">
        <f t="shared" si="23"/>
        <v>33475673.914135657</v>
      </c>
      <c r="AO54" s="17">
        <v>128.266308333333</v>
      </c>
      <c r="AP54" s="3">
        <f t="shared" si="25"/>
        <v>68.090087301925024</v>
      </c>
      <c r="AU54">
        <v>53000</v>
      </c>
    </row>
    <row r="55" spans="1:47" ht="14.65" thickBot="1" x14ac:dyDescent="0.5">
      <c r="A55" s="2">
        <v>0.70099999999999996</v>
      </c>
      <c r="B55" s="4">
        <f t="shared" si="27"/>
        <v>40000</v>
      </c>
      <c r="C55">
        <v>0.94949494949494895</v>
      </c>
      <c r="D55" s="5">
        <f t="shared" si="1"/>
        <v>1</v>
      </c>
      <c r="F55" s="2">
        <v>389.97</v>
      </c>
      <c r="G55" s="3">
        <v>5.8511999999999995E-4</v>
      </c>
      <c r="H55">
        <v>1.7591192124955999E-2</v>
      </c>
      <c r="I55">
        <v>0</v>
      </c>
      <c r="J55">
        <v>0</v>
      </c>
      <c r="K55" s="13">
        <v>968.07579999999996</v>
      </c>
      <c r="L55">
        <f t="shared" si="2"/>
        <v>919.18308282828229</v>
      </c>
      <c r="M55">
        <f t="shared" si="3"/>
        <v>247.18322423151412</v>
      </c>
      <c r="N55" s="2">
        <f t="shared" si="4"/>
        <v>0.75183635697622853</v>
      </c>
      <c r="O55">
        <f t="shared" si="5"/>
        <v>0.88739856593943522</v>
      </c>
      <c r="P55" s="4">
        <f t="shared" si="6"/>
        <v>0.18502768491749363</v>
      </c>
      <c r="Q55">
        <f t="shared" si="0"/>
        <v>0.33053740429887485</v>
      </c>
      <c r="R55">
        <f t="shared" si="30"/>
        <v>0.30768517967793374</v>
      </c>
      <c r="S55" s="3">
        <f t="shared" si="28"/>
        <v>0.39060086179450781</v>
      </c>
      <c r="T55" s="2">
        <f t="shared" si="9"/>
        <v>0.21553242606019735</v>
      </c>
      <c r="U55" s="3">
        <f t="shared" si="10"/>
        <v>1.7591192124955999E-2</v>
      </c>
      <c r="V55">
        <v>0.94949494949494895</v>
      </c>
      <c r="W55" s="13">
        <v>19.3636666666666</v>
      </c>
      <c r="X55" s="2">
        <f t="shared" si="11"/>
        <v>39.383702998775519</v>
      </c>
      <c r="Y55" s="3">
        <f t="shared" si="12"/>
        <v>59.371330992765188</v>
      </c>
      <c r="Z55" s="13">
        <f t="shared" si="13"/>
        <v>12.252292199937328</v>
      </c>
      <c r="AA55" s="2">
        <f t="shared" si="14"/>
        <v>8.1617380950571444E-2</v>
      </c>
      <c r="AB55" s="3">
        <f t="shared" si="15"/>
        <v>8.1436873274391003E-2</v>
      </c>
      <c r="AC55">
        <f t="shared" si="16"/>
        <v>2.1066169545990256E-2</v>
      </c>
      <c r="AD55" s="17">
        <v>17407241.3866666</v>
      </c>
      <c r="AE55">
        <f t="shared" si="18"/>
        <v>36200833.535607949</v>
      </c>
      <c r="AF55" s="3">
        <f t="shared" si="19"/>
        <v>54573123.053548247</v>
      </c>
      <c r="AG55">
        <f t="shared" si="20"/>
        <v>18402078.714082092</v>
      </c>
      <c r="AI55" s="2">
        <f t="shared" si="21"/>
        <v>836.63773427732201</v>
      </c>
      <c r="AJ55" s="2">
        <f t="shared" si="22"/>
        <v>1671.9211234312891</v>
      </c>
      <c r="AK55">
        <f t="shared" si="23"/>
        <v>36774368.23202239</v>
      </c>
      <c r="AO55" s="17">
        <v>120.412216666666</v>
      </c>
      <c r="AP55" s="3">
        <f t="shared" si="25"/>
        <v>74.772683944658468</v>
      </c>
      <c r="AU55">
        <v>54000</v>
      </c>
    </row>
    <row r="56" spans="1:47" ht="14.65" thickBot="1" x14ac:dyDescent="0.5">
      <c r="A56" s="2">
        <v>0.70099999999999996</v>
      </c>
      <c r="B56" s="4">
        <f t="shared" si="27"/>
        <v>40000</v>
      </c>
      <c r="C56">
        <v>0.97878787878787898</v>
      </c>
      <c r="D56" s="5">
        <f t="shared" si="1"/>
        <v>1</v>
      </c>
      <c r="F56" s="2">
        <v>389.97</v>
      </c>
      <c r="G56" s="3">
        <v>5.8511999999999995E-4</v>
      </c>
      <c r="H56">
        <v>1.7591192124955999E-2</v>
      </c>
      <c r="I56">
        <v>0</v>
      </c>
      <c r="J56">
        <v>0</v>
      </c>
      <c r="K56" s="13">
        <v>968.07579999999996</v>
      </c>
      <c r="L56">
        <f t="shared" si="2"/>
        <v>947.54085878787896</v>
      </c>
      <c r="M56">
        <f t="shared" si="3"/>
        <v>262.67022114944217</v>
      </c>
      <c r="N56" s="2">
        <f t="shared" si="4"/>
        <v>0.75183635697622853</v>
      </c>
      <c r="O56">
        <f t="shared" si="5"/>
        <v>0.89589206916534336</v>
      </c>
      <c r="P56" s="4">
        <f t="shared" si="6"/>
        <v>0.18502768491749363</v>
      </c>
      <c r="Q56">
        <f t="shared" si="0"/>
        <v>0.34174329737306947</v>
      </c>
      <c r="R56">
        <f t="shared" si="30"/>
        <v>0.30890642821645536</v>
      </c>
      <c r="S56" s="3">
        <f t="shared" si="28"/>
        <v>0.39530104657043386</v>
      </c>
      <c r="T56" s="2">
        <f t="shared" si="9"/>
        <v>0.2028246664843269</v>
      </c>
      <c r="U56" s="3">
        <f t="shared" si="10"/>
        <v>1.7591192124955999E-2</v>
      </c>
      <c r="V56">
        <v>0.97878787878787898</v>
      </c>
      <c r="W56" s="13">
        <v>17.6374999999999</v>
      </c>
      <c r="X56" s="2">
        <f t="shared" si="11"/>
        <v>39.540022811706287</v>
      </c>
      <c r="Y56" s="3">
        <f t="shared" si="12"/>
        <v>60.085759078705948</v>
      </c>
      <c r="Z56" s="13">
        <f t="shared" si="13"/>
        <v>11.529898885965025</v>
      </c>
      <c r="AA56" s="2">
        <f t="shared" si="14"/>
        <v>8.6731029464383921E-2</v>
      </c>
      <c r="AB56" s="3">
        <f t="shared" si="15"/>
        <v>8.651453429926359E-2</v>
      </c>
      <c r="AC56">
        <f t="shared" si="16"/>
        <v>1.8613973040236268E-2</v>
      </c>
      <c r="AD56" s="17">
        <v>16271824.074999999</v>
      </c>
      <c r="AE56">
        <f t="shared" si="18"/>
        <v>37465787.171496503</v>
      </c>
      <c r="AF56" s="3">
        <f t="shared" si="19"/>
        <v>56933711.758358628</v>
      </c>
      <c r="AG56">
        <f t="shared" si="20"/>
        <v>20753535.27462538</v>
      </c>
      <c r="AI56" s="2">
        <f t="shared" si="21"/>
        <v>943.54507445509239</v>
      </c>
      <c r="AJ56" s="2">
        <f t="shared" si="22"/>
        <v>1828.6407514434809</v>
      </c>
      <c r="AK56">
        <f t="shared" si="23"/>
        <v>40221459.861487508</v>
      </c>
      <c r="AO56" s="17">
        <v>112.558125</v>
      </c>
      <c r="AP56" s="3">
        <f t="shared" si="25"/>
        <v>81.873832476616059</v>
      </c>
      <c r="AU56">
        <v>55000</v>
      </c>
    </row>
    <row r="57" spans="1:47" ht="14.65" thickBot="1" x14ac:dyDescent="0.5">
      <c r="A57" s="2">
        <v>0.70099999999999996</v>
      </c>
      <c r="B57" s="4">
        <f t="shared" si="27"/>
        <v>40000</v>
      </c>
      <c r="C57">
        <v>1.0080808080807999</v>
      </c>
      <c r="D57" s="5">
        <f t="shared" si="1"/>
        <v>1</v>
      </c>
      <c r="F57" s="2">
        <v>389.97</v>
      </c>
      <c r="G57" s="3">
        <v>5.8511999999999995E-4</v>
      </c>
      <c r="H57">
        <v>1.7591192124955999E-2</v>
      </c>
      <c r="I57">
        <v>-7.8124721178269999E-3</v>
      </c>
      <c r="J57">
        <v>0</v>
      </c>
      <c r="K57" s="13">
        <v>968.07579999999996</v>
      </c>
      <c r="L57">
        <f t="shared" si="2"/>
        <v>975.89863474746676</v>
      </c>
      <c r="M57">
        <f t="shared" si="3"/>
        <v>278.62775018954414</v>
      </c>
      <c r="N57" s="2">
        <f t="shared" si="4"/>
        <v>0.75183635697622853</v>
      </c>
      <c r="O57">
        <f t="shared" si="5"/>
        <v>0.90464362539654053</v>
      </c>
      <c r="P57" s="4">
        <f t="shared" si="6"/>
        <v>0.18502768491749363</v>
      </c>
      <c r="Q57">
        <f t="shared" si="0"/>
        <v>0.35357083061162442</v>
      </c>
      <c r="R57">
        <f t="shared" si="30"/>
        <v>0.30999987024445258</v>
      </c>
      <c r="S57" s="3">
        <f t="shared" si="28"/>
        <v>0.40006314661379438</v>
      </c>
      <c r="T57" s="2">
        <f t="shared" si="9"/>
        <v>0.19120852091637514</v>
      </c>
      <c r="U57" s="3">
        <f t="shared" si="10"/>
        <v>1.7305562687542814E-2</v>
      </c>
      <c r="V57">
        <v>1.0080808080807999</v>
      </c>
      <c r="W57" s="13">
        <v>15.9113333333333</v>
      </c>
      <c r="X57" s="2">
        <f t="shared" si="11"/>
        <v>39.679983391289923</v>
      </c>
      <c r="Y57" s="3">
        <f t="shared" si="12"/>
        <v>60.809598285296751</v>
      </c>
      <c r="Z57" s="13">
        <f t="shared" si="13"/>
        <v>11.048962947273255</v>
      </c>
      <c r="AA57" s="2">
        <f t="shared" si="14"/>
        <v>9.050623165016472E-2</v>
      </c>
      <c r="AB57" s="3">
        <f t="shared" si="15"/>
        <v>9.026031557436584E-2</v>
      </c>
      <c r="AC57">
        <f t="shared" si="16"/>
        <v>1.6304288956660622E-2</v>
      </c>
      <c r="AD57" s="17">
        <v>15136406.7633333</v>
      </c>
      <c r="AE57">
        <f t="shared" si="18"/>
        <v>38723641.618361995</v>
      </c>
      <c r="AF57" s="3">
        <f t="shared" si="19"/>
        <v>59344003.946162991</v>
      </c>
      <c r="AG57">
        <f t="shared" si="20"/>
        <v>23195793.141350169</v>
      </c>
      <c r="AI57" s="2">
        <f t="shared" si="21"/>
        <v>1054.5806329854436</v>
      </c>
      <c r="AJ57" s="2">
        <f t="shared" si="22"/>
        <v>1992.0710918599102</v>
      </c>
      <c r="AK57">
        <f t="shared" si="23"/>
        <v>43816155.469151169</v>
      </c>
      <c r="AO57" s="17">
        <v>104.704033333333</v>
      </c>
      <c r="AP57" s="3">
        <f t="shared" si="25"/>
        <v>87.965363920076541</v>
      </c>
      <c r="AU57">
        <v>56000</v>
      </c>
    </row>
    <row r="58" spans="1:47" ht="14.65" thickBot="1" x14ac:dyDescent="0.5">
      <c r="A58" s="2">
        <v>0.70099999999999996</v>
      </c>
      <c r="B58" s="4">
        <f t="shared" si="27"/>
        <v>40000</v>
      </c>
      <c r="C58">
        <v>1.03737373737373</v>
      </c>
      <c r="D58" s="5">
        <f t="shared" si="1"/>
        <v>1</v>
      </c>
      <c r="F58" s="2">
        <v>389.97</v>
      </c>
      <c r="G58" s="3">
        <v>5.8511999999999995E-4</v>
      </c>
      <c r="H58">
        <v>1.7591192124955999E-2</v>
      </c>
      <c r="I58">
        <v>0.347885504652374</v>
      </c>
      <c r="J58">
        <v>0</v>
      </c>
      <c r="K58" s="13">
        <v>968.07579999999996</v>
      </c>
      <c r="L58">
        <f t="shared" si="2"/>
        <v>1004.2564107070635</v>
      </c>
      <c r="M58">
        <f t="shared" si="3"/>
        <v>295.0558113518303</v>
      </c>
      <c r="N58" s="2">
        <f t="shared" si="4"/>
        <v>0.75183635697622853</v>
      </c>
      <c r="O58">
        <f t="shared" si="5"/>
        <v>0.91365323463303272</v>
      </c>
      <c r="P58" s="4">
        <f t="shared" si="6"/>
        <v>0.18502768491749363</v>
      </c>
      <c r="Q58">
        <f t="shared" si="0"/>
        <v>0.36604962789722051</v>
      </c>
      <c r="R58">
        <f t="shared" si="30"/>
        <v>0.31094087019759736</v>
      </c>
      <c r="S58" s="3">
        <f t="shared" si="28"/>
        <v>0.40487438489906352</v>
      </c>
      <c r="T58" s="2">
        <f t="shared" si="9"/>
        <v>0.18056244937495117</v>
      </c>
      <c r="U58" s="3">
        <f t="shared" si="10"/>
        <v>2.8933233003501247E-2</v>
      </c>
      <c r="V58">
        <v>1.03737373737373</v>
      </c>
      <c r="W58" s="13">
        <v>14.1851666666666</v>
      </c>
      <c r="X58" s="2">
        <f t="shared" si="11"/>
        <v>39.800431385292462</v>
      </c>
      <c r="Y58" s="3">
        <f t="shared" si="12"/>
        <v>61.540906504657656</v>
      </c>
      <c r="Z58" s="13">
        <f t="shared" si="13"/>
        <v>6.2406592914487327</v>
      </c>
      <c r="AA58" s="2">
        <f t="shared" si="14"/>
        <v>0.16023948004504118</v>
      </c>
      <c r="AB58" s="3">
        <f t="shared" si="15"/>
        <v>0.15888875584275639</v>
      </c>
      <c r="AC58">
        <f t="shared" si="16"/>
        <v>1.4125044675273018E-2</v>
      </c>
      <c r="AD58" s="17">
        <v>14000989.451666599</v>
      </c>
      <c r="AE58">
        <f t="shared" si="18"/>
        <v>39969838.367586568</v>
      </c>
      <c r="AF58" s="3">
        <f t="shared" si="19"/>
        <v>61802849.878026478</v>
      </c>
      <c r="AG58">
        <f t="shared" si="20"/>
        <v>25724293.805638488</v>
      </c>
      <c r="AI58" s="2">
        <f t="shared" si="21"/>
        <v>1169.5371604385109</v>
      </c>
      <c r="AJ58" s="2">
        <f t="shared" si="22"/>
        <v>2162.1598725980311</v>
      </c>
      <c r="AK58">
        <f t="shared" si="23"/>
        <v>47557305.316078402</v>
      </c>
      <c r="AO58" s="2">
        <v>96.849941666666595</v>
      </c>
      <c r="AP58" s="3">
        <f t="shared" si="25"/>
        <v>158.89451172641233</v>
      </c>
      <c r="AU58">
        <v>57000</v>
      </c>
    </row>
    <row r="59" spans="1:47" ht="14.65" thickBot="1" x14ac:dyDescent="0.5">
      <c r="A59" s="2">
        <v>0.70099999999999996</v>
      </c>
      <c r="B59" s="4">
        <f t="shared" si="27"/>
        <v>40000</v>
      </c>
      <c r="C59">
        <v>1.06666666666666</v>
      </c>
      <c r="D59" s="5">
        <f t="shared" si="1"/>
        <v>1</v>
      </c>
      <c r="F59" s="2">
        <v>389.97</v>
      </c>
      <c r="G59" s="3">
        <v>5.8511999999999995E-4</v>
      </c>
      <c r="H59">
        <v>1.7591192124955999E-2</v>
      </c>
      <c r="I59">
        <v>8.1485713979185997E-2</v>
      </c>
      <c r="J59">
        <v>0</v>
      </c>
      <c r="K59" s="13">
        <v>968.07579999999996</v>
      </c>
      <c r="L59">
        <f t="shared" si="2"/>
        <v>1032.6141866666601</v>
      </c>
      <c r="M59">
        <f t="shared" si="3"/>
        <v>311.95440463629529</v>
      </c>
      <c r="N59" s="2">
        <f t="shared" si="4"/>
        <v>0.75183635697622853</v>
      </c>
      <c r="O59">
        <f t="shared" si="5"/>
        <v>0.92292089687481704</v>
      </c>
      <c r="P59" s="4">
        <f t="shared" si="6"/>
        <v>0.18502768491749363</v>
      </c>
      <c r="Q59">
        <f t="shared" si="0"/>
        <v>0.37921085566608709</v>
      </c>
      <c r="R59">
        <f t="shared" si="30"/>
        <v>0.3117029857381553</v>
      </c>
      <c r="S59" s="3">
        <f t="shared" si="28"/>
        <v>0.4097209083993793</v>
      </c>
      <c r="T59" s="2">
        <f t="shared" si="9"/>
        <v>0.17078136807240785</v>
      </c>
      <c r="U59" s="3">
        <f t="shared" si="10"/>
        <v>1.9967826922910242E-2</v>
      </c>
      <c r="V59">
        <v>1.06666666666666</v>
      </c>
      <c r="W59" s="13">
        <f t="shared" si="26"/>
        <v>16.899416881241063</v>
      </c>
      <c r="X59" s="2">
        <f t="shared" si="11"/>
        <v>39.897982174483879</v>
      </c>
      <c r="Y59" s="3">
        <f t="shared" si="12"/>
        <v>62.277578076705659</v>
      </c>
      <c r="Z59" s="13">
        <f t="shared" si="13"/>
        <v>8.5528269416468401</v>
      </c>
      <c r="AA59" s="2">
        <f t="shared" si="14"/>
        <v>0.11692040617946267</v>
      </c>
      <c r="AB59" s="3">
        <f t="shared" si="15"/>
        <v>0.11639195177714351</v>
      </c>
      <c r="AC59">
        <f t="shared" si="16"/>
        <v>1.6365664058706555E-2</v>
      </c>
      <c r="AD59" s="2">
        <f t="shared" si="17"/>
        <v>17450577.617963564</v>
      </c>
      <c r="AE59">
        <f t="shared" si="18"/>
        <v>41199222.412745573</v>
      </c>
      <c r="AF59" s="3">
        <f t="shared" si="19"/>
        <v>64308710.633246832</v>
      </c>
      <c r="AG59">
        <f t="shared" si="20"/>
        <v>23748644.794782005</v>
      </c>
      <c r="AI59" s="2">
        <f t="shared" si="21"/>
        <v>1079.7156496270543</v>
      </c>
      <c r="AJ59" s="2">
        <f t="shared" si="22"/>
        <v>2130.3724892977375</v>
      </c>
      <c r="AK59">
        <f t="shared" si="23"/>
        <v>46858133.015283264</v>
      </c>
      <c r="AO59" s="2">
        <f t="shared" si="24"/>
        <v>120.71200861740085</v>
      </c>
      <c r="AP59" s="3">
        <f t="shared" si="25"/>
        <v>119.91679821027934</v>
      </c>
      <c r="AU59">
        <v>58000</v>
      </c>
    </row>
    <row r="60" spans="1:47" ht="14.65" thickBot="1" x14ac:dyDescent="0.5">
      <c r="A60" s="2">
        <v>0.70099999999999996</v>
      </c>
      <c r="B60" s="4">
        <f t="shared" si="27"/>
        <v>40000</v>
      </c>
      <c r="C60">
        <v>1.09595959595959</v>
      </c>
      <c r="D60" s="5">
        <f t="shared" si="1"/>
        <v>1</v>
      </c>
      <c r="F60" s="2">
        <v>389.97</v>
      </c>
      <c r="G60" s="3">
        <v>5.8511999999999995E-4</v>
      </c>
      <c r="H60">
        <v>1.7591192124955999E-2</v>
      </c>
      <c r="I60">
        <v>6.9707789419606994E-2</v>
      </c>
      <c r="J60">
        <v>0</v>
      </c>
      <c r="K60" s="13">
        <v>968.07579999999996</v>
      </c>
      <c r="L60">
        <f t="shared" si="2"/>
        <v>1060.9719626262568</v>
      </c>
      <c r="M60">
        <f t="shared" si="3"/>
        <v>329.32353004293952</v>
      </c>
      <c r="N60" s="2">
        <f t="shared" si="4"/>
        <v>0.75183635697622853</v>
      </c>
      <c r="O60">
        <f t="shared" si="5"/>
        <v>0.93244661212189339</v>
      </c>
      <c r="P60" s="4">
        <f t="shared" si="6"/>
        <v>0.18502768491749363</v>
      </c>
      <c r="Q60">
        <f t="shared" si="0"/>
        <v>0.39308728587677227</v>
      </c>
      <c r="R60">
        <f t="shared" si="30"/>
        <v>0.31225784864737449</v>
      </c>
      <c r="S60" s="3">
        <f t="shared" si="28"/>
        <v>0.41458771436682273</v>
      </c>
      <c r="T60" s="2">
        <f t="shared" si="9"/>
        <v>0.16177404630957737</v>
      </c>
      <c r="U60" s="3">
        <f t="shared" si="10"/>
        <v>1.9415503672164585E-2</v>
      </c>
      <c r="V60">
        <v>1.09595959595959</v>
      </c>
      <c r="W60" s="13">
        <f t="shared" si="26"/>
        <v>17.346873727262444</v>
      </c>
      <c r="X60" s="2">
        <f t="shared" si="11"/>
        <v>39.969004626863935</v>
      </c>
      <c r="Y60" s="3">
        <f t="shared" si="12"/>
        <v>63.01733258375706</v>
      </c>
      <c r="Z60" s="13">
        <f t="shared" si="13"/>
        <v>8.3322096115130861</v>
      </c>
      <c r="AA60" s="2">
        <f t="shared" si="14"/>
        <v>0.1200161837765391</v>
      </c>
      <c r="AB60" s="3">
        <f t="shared" si="15"/>
        <v>0.11944488002617973</v>
      </c>
      <c r="AC60">
        <f t="shared" si="16"/>
        <v>1.6349983164798427E-2</v>
      </c>
      <c r="AD60" s="2">
        <f t="shared" si="17"/>
        <v>18404546.663843483</v>
      </c>
      <c r="AE60">
        <f t="shared" si="18"/>
        <v>42405993.283181764</v>
      </c>
      <c r="AF60" s="3">
        <f t="shared" si="19"/>
        <v>66859623.030860282</v>
      </c>
      <c r="AG60">
        <f t="shared" si="20"/>
        <v>24001446.619338278</v>
      </c>
      <c r="AI60" s="2">
        <f t="shared" si="21"/>
        <v>1091.209109089114</v>
      </c>
      <c r="AJ60" s="2">
        <f t="shared" si="22"/>
        <v>2202.9764102091922</v>
      </c>
      <c r="AK60">
        <f t="shared" si="23"/>
        <v>48455076.367016807</v>
      </c>
      <c r="AO60" s="2">
        <f t="shared" si="24"/>
        <v>127.31096036604954</v>
      </c>
      <c r="AP60" s="3">
        <f t="shared" si="25"/>
        <v>126.42654472398772</v>
      </c>
      <c r="AU60">
        <v>59000</v>
      </c>
    </row>
    <row r="61" spans="1:47" ht="14.65" thickBot="1" x14ac:dyDescent="0.5">
      <c r="A61" s="2">
        <v>0.70099999999999996</v>
      </c>
      <c r="B61" s="4">
        <f t="shared" si="27"/>
        <v>40000</v>
      </c>
      <c r="C61">
        <v>1.1252525252525201</v>
      </c>
      <c r="D61" s="5">
        <f t="shared" si="1"/>
        <v>1</v>
      </c>
      <c r="F61" s="2">
        <v>389.97</v>
      </c>
      <c r="G61" s="3">
        <v>5.8511999999999995E-4</v>
      </c>
      <c r="H61">
        <v>1.7591192124955999E-2</v>
      </c>
      <c r="I61">
        <v>6.7768462942261007E-2</v>
      </c>
      <c r="J61">
        <v>0</v>
      </c>
      <c r="K61" s="13">
        <v>968.07579999999996</v>
      </c>
      <c r="L61">
        <f t="shared" si="2"/>
        <v>1089.3297385858534</v>
      </c>
      <c r="M61">
        <f t="shared" si="3"/>
        <v>347.16318757176271</v>
      </c>
      <c r="N61" s="2">
        <f t="shared" si="4"/>
        <v>0.75183635697622853</v>
      </c>
      <c r="O61">
        <f t="shared" si="5"/>
        <v>0.94223038037426188</v>
      </c>
      <c r="P61" s="4">
        <f t="shared" si="6"/>
        <v>0.18502768491749363</v>
      </c>
      <c r="Q61">
        <f t="shared" si="0"/>
        <v>0.40771336141640918</v>
      </c>
      <c r="R61">
        <f t="shared" si="30"/>
        <v>0.31257504010912357</v>
      </c>
      <c r="S61" s="3">
        <f t="shared" si="28"/>
        <v>0.41945857357639182</v>
      </c>
      <c r="T61" s="2">
        <f t="shared" si="9"/>
        <v>0.15346097140264109</v>
      </c>
      <c r="U61" s="3">
        <f t="shared" si="10"/>
        <v>1.9187157707371821E-2</v>
      </c>
      <c r="V61">
        <v>1.1252525252525201</v>
      </c>
      <c r="W61" s="13">
        <f t="shared" si="26"/>
        <v>18.071496014151684</v>
      </c>
      <c r="X61" s="2">
        <f t="shared" si="11"/>
        <v>40.009605133967817</v>
      </c>
      <c r="Y61" s="3">
        <f t="shared" si="12"/>
        <v>63.757703183611554</v>
      </c>
      <c r="Z61" s="13">
        <f t="shared" si="13"/>
        <v>7.9981086173946681</v>
      </c>
      <c r="AA61" s="2">
        <f t="shared" si="14"/>
        <v>0.12502955984182965</v>
      </c>
      <c r="AB61" s="3">
        <f t="shared" si="15"/>
        <v>0.1243840995158977</v>
      </c>
      <c r="AC61">
        <f t="shared" si="16"/>
        <v>1.6589555369719133E-2</v>
      </c>
      <c r="AD61" s="2">
        <f t="shared" si="17"/>
        <v>19685818.028951146</v>
      </c>
      <c r="AE61">
        <f t="shared" si="18"/>
        <v>43583652.70150838</v>
      </c>
      <c r="AF61" s="3">
        <f t="shared" si="19"/>
        <v>69453162.141838014</v>
      </c>
      <c r="AG61">
        <f t="shared" si="20"/>
        <v>23897834.672557231</v>
      </c>
      <c r="AI61" s="2">
        <f t="shared" si="21"/>
        <v>1086.4984638546373</v>
      </c>
      <c r="AJ61" s="2">
        <f t="shared" si="22"/>
        <v>2262.6377523177757</v>
      </c>
      <c r="AK61">
        <f t="shared" si="23"/>
        <v>49767344.112886861</v>
      </c>
      <c r="AO61" s="2">
        <f t="shared" si="24"/>
        <v>136.17398160535188</v>
      </c>
      <c r="AP61" s="3">
        <f t="shared" si="25"/>
        <v>135.14618502760507</v>
      </c>
      <c r="AU61">
        <v>60000</v>
      </c>
    </row>
    <row r="62" spans="1:47" ht="14.65" thickBot="1" x14ac:dyDescent="0.5">
      <c r="A62" s="2">
        <v>0.70099999999999996</v>
      </c>
      <c r="B62" s="4">
        <f t="shared" si="27"/>
        <v>40000</v>
      </c>
      <c r="C62">
        <v>1.1545454545454501</v>
      </c>
      <c r="D62" s="5">
        <f t="shared" si="1"/>
        <v>1</v>
      </c>
      <c r="F62" s="2">
        <v>389.97</v>
      </c>
      <c r="G62" s="3">
        <v>5.8511999999999995E-4</v>
      </c>
      <c r="H62">
        <v>1.7591192124955999E-2</v>
      </c>
      <c r="I62">
        <v>6.8340689415613998E-2</v>
      </c>
      <c r="J62">
        <v>0</v>
      </c>
      <c r="K62" s="13">
        <v>968.07579999999996</v>
      </c>
      <c r="L62">
        <f t="shared" si="2"/>
        <v>1117.6875145454501</v>
      </c>
      <c r="M62">
        <f t="shared" si="3"/>
        <v>365.47337722276501</v>
      </c>
      <c r="N62" s="2">
        <f t="shared" si="4"/>
        <v>0.75183635697622853</v>
      </c>
      <c r="O62">
        <f t="shared" si="5"/>
        <v>0.95227220163192261</v>
      </c>
      <c r="P62" s="4">
        <f t="shared" si="6"/>
        <v>0.18502768491749363</v>
      </c>
      <c r="Q62">
        <f t="shared" si="0"/>
        <v>0.42312526399265893</v>
      </c>
      <c r="R62">
        <f t="shared" si="30"/>
        <v>0.31262196017610933</v>
      </c>
      <c r="S62" s="3">
        <f t="shared" si="28"/>
        <v>0.42431595042343784</v>
      </c>
      <c r="T62" s="2">
        <f t="shared" si="9"/>
        <v>0.14577258788272002</v>
      </c>
      <c r="U62" s="3">
        <f t="shared" si="10"/>
        <v>1.9043407676608944E-2</v>
      </c>
      <c r="V62">
        <v>1.1545454545454501</v>
      </c>
      <c r="W62" s="13">
        <f t="shared" si="26"/>
        <v>18.882096157706744</v>
      </c>
      <c r="X62" s="2">
        <f t="shared" si="11"/>
        <v>40.015610902541994</v>
      </c>
      <c r="Y62" s="3">
        <f t="shared" si="12"/>
        <v>64.496024464362549</v>
      </c>
      <c r="Z62" s="13">
        <f t="shared" si="13"/>
        <v>7.654753306666473</v>
      </c>
      <c r="AA62" s="2">
        <f t="shared" si="14"/>
        <v>0.13063778281778288</v>
      </c>
      <c r="AB62" s="3">
        <f t="shared" si="15"/>
        <v>0.12990213625143932</v>
      </c>
      <c r="AC62">
        <f t="shared" si="16"/>
        <v>1.6893895576337241E-2</v>
      </c>
      <c r="AD62" s="2">
        <f t="shared" si="17"/>
        <v>21104283.123915445</v>
      </c>
      <c r="AE62">
        <f t="shared" si="18"/>
        <v>44724948.692679971</v>
      </c>
      <c r="AF62" s="3">
        <f t="shared" si="19"/>
        <v>72086401.28163591</v>
      </c>
      <c r="AG62">
        <f t="shared" si="20"/>
        <v>23620665.568764534</v>
      </c>
      <c r="AI62" s="2">
        <f t="shared" si="21"/>
        <v>1073.8971629575083</v>
      </c>
      <c r="AJ62" s="2">
        <f t="shared" si="22"/>
        <v>2317.8666109874625</v>
      </c>
      <c r="AK62">
        <f t="shared" si="23"/>
        <v>50982118.157720476</v>
      </c>
      <c r="AO62" s="2">
        <f t="shared" si="24"/>
        <v>145.9860219008292</v>
      </c>
      <c r="AP62" s="3">
        <f t="shared" si="25"/>
        <v>144.78200385054882</v>
      </c>
    </row>
    <row r="63" spans="1:47" ht="14.65" thickBot="1" x14ac:dyDescent="0.5">
      <c r="A63" s="2">
        <v>0.70099999999999996</v>
      </c>
      <c r="B63" s="4">
        <f t="shared" si="27"/>
        <v>40000</v>
      </c>
      <c r="C63">
        <v>1.1838383838383799</v>
      </c>
      <c r="D63" s="5">
        <f t="shared" si="1"/>
        <v>1</v>
      </c>
      <c r="F63" s="2">
        <v>389.97</v>
      </c>
      <c r="G63" s="3">
        <v>5.8511999999999995E-4</v>
      </c>
      <c r="H63">
        <v>1.7591192124955999E-2</v>
      </c>
      <c r="I63">
        <v>6.9861491244209997E-2</v>
      </c>
      <c r="J63">
        <v>0</v>
      </c>
      <c r="K63" s="13">
        <v>968.07579999999996</v>
      </c>
      <c r="L63">
        <f t="shared" si="2"/>
        <v>1146.0452905050468</v>
      </c>
      <c r="M63">
        <f t="shared" si="3"/>
        <v>384.25409899594644</v>
      </c>
      <c r="N63" s="2">
        <f t="shared" si="4"/>
        <v>0.75183635697622853</v>
      </c>
      <c r="O63">
        <f t="shared" si="5"/>
        <v>0.96257207589487537</v>
      </c>
      <c r="P63" s="4">
        <f t="shared" si="6"/>
        <v>0.18502768491749363</v>
      </c>
      <c r="Q63">
        <f t="shared" si="0"/>
        <v>0.43936098456018324</v>
      </c>
      <c r="R63">
        <f t="shared" si="30"/>
        <v>0.31236369120601715</v>
      </c>
      <c r="S63" s="3">
        <f t="shared" si="28"/>
        <v>0.42914091976704727</v>
      </c>
      <c r="T63" s="2">
        <f t="shared" si="9"/>
        <v>0.13864783782192527</v>
      </c>
      <c r="U63" s="3">
        <f t="shared" si="10"/>
        <v>1.8934155145553959E-2</v>
      </c>
      <c r="V63">
        <v>1.1838383838383799</v>
      </c>
      <c r="W63" s="13">
        <f t="shared" si="26"/>
        <v>19.738504006835765</v>
      </c>
      <c r="X63" s="2">
        <f t="shared" si="11"/>
        <v>39.982552474370195</v>
      </c>
      <c r="Y63" s="3">
        <f t="shared" si="12"/>
        <v>65.229419804591188</v>
      </c>
      <c r="Z63" s="13">
        <f t="shared" si="13"/>
        <v>7.3226313377115213</v>
      </c>
      <c r="AA63" s="2">
        <f t="shared" si="14"/>
        <v>0.13656293125805802</v>
      </c>
      <c r="AB63" s="3">
        <f t="shared" si="15"/>
        <v>0.1357233654138485</v>
      </c>
      <c r="AC63">
        <f t="shared" si="16"/>
        <v>1.7223144818419238E-2</v>
      </c>
      <c r="AD63" s="2">
        <f t="shared" si="17"/>
        <v>22621219.558649123</v>
      </c>
      <c r="AE63">
        <f t="shared" si="18"/>
        <v>45821815.965622865</v>
      </c>
      <c r="AF63" s="3">
        <f t="shared" si="19"/>
        <v>74755869.369428352</v>
      </c>
      <c r="AG63">
        <f t="shared" si="20"/>
        <v>23200596.406973746</v>
      </c>
      <c r="AI63" s="2">
        <f t="shared" si="21"/>
        <v>1054.7990101226617</v>
      </c>
      <c r="AJ63" s="2">
        <f t="shared" si="22"/>
        <v>2370.2656625228788</v>
      </c>
      <c r="AK63">
        <f t="shared" si="23"/>
        <v>52134649.810779236</v>
      </c>
      <c r="AO63" s="2">
        <f t="shared" si="24"/>
        <v>156.47922436039281</v>
      </c>
      <c r="AP63" s="3">
        <f t="shared" si="25"/>
        <v>155.06801829334955</v>
      </c>
    </row>
    <row r="64" spans="1:47" ht="14.65" thickBot="1" x14ac:dyDescent="0.5">
      <c r="A64" s="2">
        <v>0.70099999999999996</v>
      </c>
      <c r="B64" s="4">
        <f t="shared" si="27"/>
        <v>40000</v>
      </c>
      <c r="C64">
        <v>1.21313131313131</v>
      </c>
      <c r="D64" s="5">
        <f t="shared" si="1"/>
        <v>1</v>
      </c>
      <c r="F64" s="2">
        <v>389.97</v>
      </c>
      <c r="G64" s="3">
        <v>5.8511999999999995E-4</v>
      </c>
      <c r="H64">
        <v>1.7591192124955999E-2</v>
      </c>
      <c r="I64">
        <v>7.1810239505036996E-2</v>
      </c>
      <c r="J64">
        <v>0</v>
      </c>
      <c r="K64" s="13">
        <v>968.07579999999996</v>
      </c>
      <c r="L64">
        <f t="shared" si="2"/>
        <v>1174.4030664646434</v>
      </c>
      <c r="M64">
        <f t="shared" si="3"/>
        <v>403.50535289130687</v>
      </c>
      <c r="N64" s="2">
        <f t="shared" si="4"/>
        <v>0.75183635697622853</v>
      </c>
      <c r="O64">
        <f t="shared" si="5"/>
        <v>0.97313000316312037</v>
      </c>
      <c r="P64" s="4">
        <f t="shared" si="6"/>
        <v>0.18502768491749363</v>
      </c>
      <c r="Q64">
        <f t="shared" si="0"/>
        <v>0.45646039633117841</v>
      </c>
      <c r="R64">
        <f t="shared" si="30"/>
        <v>0.31176285505093421</v>
      </c>
      <c r="S64" s="3">
        <f t="shared" si="28"/>
        <v>0.43391308041398302</v>
      </c>
      <c r="T64" s="2">
        <f t="shared" si="9"/>
        <v>0.13203294483766381</v>
      </c>
      <c r="U64" s="3">
        <f t="shared" si="10"/>
        <v>1.8843038381076229E-2</v>
      </c>
      <c r="V64">
        <v>1.21313131313131</v>
      </c>
      <c r="W64" s="13">
        <f t="shared" si="26"/>
        <v>20.62766296812114</v>
      </c>
      <c r="X64" s="2">
        <f t="shared" si="11"/>
        <v>39.905645446519578</v>
      </c>
      <c r="Y64" s="3">
        <f t="shared" si="12"/>
        <v>65.954788222925416</v>
      </c>
      <c r="Z64" s="13">
        <f t="shared" si="13"/>
        <v>7.0069880540211846</v>
      </c>
      <c r="AA64" s="2">
        <f t="shared" si="14"/>
        <v>0.14271467173775443</v>
      </c>
      <c r="AB64" s="3">
        <f t="shared" si="15"/>
        <v>0.14175743012312672</v>
      </c>
      <c r="AC64">
        <f t="shared" si="16"/>
        <v>1.7564381052084178E-2</v>
      </c>
      <c r="AD64" s="2">
        <f t="shared" si="17"/>
        <v>24225190.643760633</v>
      </c>
      <c r="AE64">
        <f t="shared" si="18"/>
        <v>46865312.381643429</v>
      </c>
      <c r="AF64" s="3">
        <f t="shared" si="19"/>
        <v>77457505.537029758</v>
      </c>
      <c r="AG64">
        <f t="shared" si="20"/>
        <v>22640121.737882797</v>
      </c>
      <c r="AI64" s="2">
        <f t="shared" si="21"/>
        <v>1029.3174183658973</v>
      </c>
      <c r="AJ64" s="2">
        <f t="shared" si="22"/>
        <v>2420.1702435149659</v>
      </c>
      <c r="AK64">
        <f t="shared" si="23"/>
        <v>53232314.893269129</v>
      </c>
      <c r="AO64" s="2">
        <f t="shared" si="24"/>
        <v>167.57447723321073</v>
      </c>
      <c r="AP64" s="3">
        <f t="shared" si="25"/>
        <v>165.92334542759397</v>
      </c>
    </row>
    <row r="65" spans="1:42" ht="14.65" thickBot="1" x14ac:dyDescent="0.5">
      <c r="A65" s="2">
        <v>0.70099999999999996</v>
      </c>
      <c r="B65" s="4">
        <f t="shared" si="27"/>
        <v>40000</v>
      </c>
      <c r="C65">
        <v>1.24242424242424</v>
      </c>
      <c r="D65" s="5">
        <f t="shared" si="1"/>
        <v>1</v>
      </c>
      <c r="F65" s="2">
        <v>389.97</v>
      </c>
      <c r="G65" s="3">
        <v>5.8511999999999995E-4</v>
      </c>
      <c r="H65">
        <v>1.7591192124955999E-2</v>
      </c>
      <c r="I65">
        <v>7.3970272631459999E-2</v>
      </c>
      <c r="J65">
        <v>0</v>
      </c>
      <c r="K65" s="13">
        <v>968.07579999999996</v>
      </c>
      <c r="L65">
        <f t="shared" si="2"/>
        <v>1202.7608424242401</v>
      </c>
      <c r="M65">
        <f t="shared" si="3"/>
        <v>423.22713890884643</v>
      </c>
      <c r="N65" s="2">
        <f t="shared" si="4"/>
        <v>0.75183635697622853</v>
      </c>
      <c r="O65">
        <f t="shared" si="5"/>
        <v>0.9839459834366574</v>
      </c>
      <c r="P65" s="4">
        <f t="shared" si="6"/>
        <v>0.18502768491749363</v>
      </c>
      <c r="Q65">
        <f t="shared" si="0"/>
        <v>0.47446533042013966</v>
      </c>
      <c r="R65">
        <f t="shared" si="30"/>
        <v>0.31077946377941318</v>
      </c>
      <c r="S65" s="3">
        <f t="shared" si="28"/>
        <v>0.43861046513944713</v>
      </c>
      <c r="T65" s="2">
        <f t="shared" si="9"/>
        <v>0.12588039636908643</v>
      </c>
      <c r="U65" s="3">
        <f t="shared" si="10"/>
        <v>1.8763315758876947E-2</v>
      </c>
      <c r="V65">
        <v>1.24242424242424</v>
      </c>
      <c r="W65" s="13">
        <f t="shared" si="26"/>
        <v>21.544324879482399</v>
      </c>
      <c r="X65" s="2">
        <f t="shared" si="11"/>
        <v>39.779771363764887</v>
      </c>
      <c r="Y65" s="3">
        <f t="shared" si="12"/>
        <v>66.66879070119596</v>
      </c>
      <c r="Z65" s="13">
        <f t="shared" si="13"/>
        <v>6.7088566853932665</v>
      </c>
      <c r="AA65" s="2">
        <f t="shared" si="14"/>
        <v>0.14905669429147764</v>
      </c>
      <c r="AB65" s="3">
        <f t="shared" si="15"/>
        <v>0.14796727181914515</v>
      </c>
      <c r="AC65">
        <f t="shared" si="16"/>
        <v>1.7912392987502367E-2</v>
      </c>
      <c r="AD65" s="2">
        <f t="shared" si="17"/>
        <v>25912670.341507763</v>
      </c>
      <c r="AE65">
        <f t="shared" si="18"/>
        <v>47845551.316925511</v>
      </c>
      <c r="AF65" s="3">
        <f t="shared" si="19"/>
        <v>80186610.867175803</v>
      </c>
      <c r="AG65">
        <f t="shared" si="20"/>
        <v>21932880.975417748</v>
      </c>
      <c r="AI65" s="2">
        <f t="shared" si="21"/>
        <v>997.16320805679095</v>
      </c>
      <c r="AJ65" s="2">
        <f t="shared" si="22"/>
        <v>2467.5270298104465</v>
      </c>
      <c r="AK65">
        <f t="shared" si="23"/>
        <v>54273940.525668025</v>
      </c>
      <c r="AO65" s="2">
        <f t="shared" si="24"/>
        <v>179.24738963047449</v>
      </c>
      <c r="AP65" s="3">
        <f t="shared" si="25"/>
        <v>177.32053200477404</v>
      </c>
    </row>
    <row r="66" spans="1:42" ht="14.65" thickBot="1" x14ac:dyDescent="0.5">
      <c r="A66" s="2">
        <v>0.70099999999999996</v>
      </c>
      <c r="B66" s="4">
        <f t="shared" si="27"/>
        <v>40000</v>
      </c>
      <c r="C66">
        <v>1.27171717171717</v>
      </c>
      <c r="D66" s="5">
        <f t="shared" si="1"/>
        <v>1</v>
      </c>
      <c r="F66" s="2">
        <v>389.97</v>
      </c>
      <c r="G66" s="3">
        <v>5.8511999999999995E-4</v>
      </c>
      <c r="H66">
        <v>1.7591192124955999E-2</v>
      </c>
      <c r="I66">
        <v>7.6238493876566005E-2</v>
      </c>
      <c r="J66">
        <v>0</v>
      </c>
      <c r="K66" s="13">
        <v>968.07579999999996</v>
      </c>
      <c r="L66">
        <f t="shared" si="2"/>
        <v>1231.1186183838367</v>
      </c>
      <c r="M66">
        <f t="shared" si="3"/>
        <v>443.41945704856505</v>
      </c>
      <c r="N66" s="2">
        <f t="shared" si="4"/>
        <v>0.75183635697622853</v>
      </c>
      <c r="O66">
        <f t="shared" si="5"/>
        <v>0.99502001671548646</v>
      </c>
      <c r="P66" s="4">
        <f t="shared" si="6"/>
        <v>0.18502768491749363</v>
      </c>
      <c r="Q66">
        <f t="shared" si="0"/>
        <v>0.49341965417364381</v>
      </c>
      <c r="R66">
        <f t="shared" si="30"/>
        <v>0.30937076370652222</v>
      </c>
      <c r="S66" s="3">
        <f t="shared" si="28"/>
        <v>0.44320944714219879</v>
      </c>
      <c r="T66" s="2">
        <f t="shared" si="9"/>
        <v>0.12014808812091661</v>
      </c>
      <c r="U66" s="3">
        <f t="shared" si="10"/>
        <v>1.8691737712367627E-2</v>
      </c>
      <c r="V66">
        <v>1.27171717171717</v>
      </c>
      <c r="W66" s="13">
        <f t="shared" si="26"/>
        <v>22.486104149263308</v>
      </c>
      <c r="X66" s="2">
        <f t="shared" si="11"/>
        <v>39.599457754434845</v>
      </c>
      <c r="Y66" s="3">
        <f t="shared" si="12"/>
        <v>67.367835965614219</v>
      </c>
      <c r="Z66" s="13">
        <f t="shared" si="13"/>
        <v>6.427871499685077</v>
      </c>
      <c r="AA66" s="2">
        <f t="shared" si="14"/>
        <v>0.15557249395060144</v>
      </c>
      <c r="AB66" s="3">
        <f t="shared" si="15"/>
        <v>0.15433531409474191</v>
      </c>
      <c r="AC66">
        <f t="shared" si="16"/>
        <v>1.8264774663859902E-2</v>
      </c>
      <c r="AD66" s="2">
        <f t="shared" si="17"/>
        <v>27683061.473076105</v>
      </c>
      <c r="AE66">
        <f t="shared" si="18"/>
        <v>48751629.719388932</v>
      </c>
      <c r="AF66" s="3">
        <f t="shared" si="19"/>
        <v>82937797.137495935</v>
      </c>
      <c r="AG66">
        <f t="shared" si="20"/>
        <v>21068568.246312831</v>
      </c>
      <c r="AI66" s="2">
        <f t="shared" si="21"/>
        <v>957.86782982150362</v>
      </c>
      <c r="AJ66" s="2">
        <f t="shared" si="22"/>
        <v>2512.118199939915</v>
      </c>
      <c r="AK66">
        <f t="shared" si="23"/>
        <v>55254735.664419815</v>
      </c>
      <c r="AO66" s="2">
        <f t="shared" si="24"/>
        <v>191.49383064856767</v>
      </c>
      <c r="AP66" s="3">
        <f t="shared" si="25"/>
        <v>189.25167567707081</v>
      </c>
    </row>
    <row r="67" spans="1:42" ht="14.65" thickBot="1" x14ac:dyDescent="0.5">
      <c r="A67" s="2">
        <v>0.70099999999999996</v>
      </c>
      <c r="B67" s="4">
        <f t="shared" si="27"/>
        <v>40000</v>
      </c>
      <c r="C67">
        <v>1.3010101010101001</v>
      </c>
      <c r="D67" s="5">
        <f t="shared" si="1"/>
        <v>1</v>
      </c>
      <c r="F67" s="2">
        <v>389.97</v>
      </c>
      <c r="G67" s="3">
        <v>5.8511999999999995E-4</v>
      </c>
      <c r="H67">
        <v>1.7591192124955999E-2</v>
      </c>
      <c r="I67">
        <v>7.8561351861416995E-2</v>
      </c>
      <c r="J67">
        <v>0</v>
      </c>
      <c r="K67" s="13">
        <v>968.07579999999996</v>
      </c>
      <c r="L67">
        <f t="shared" si="2"/>
        <v>1259.4763943434334</v>
      </c>
      <c r="M67">
        <f t="shared" si="3"/>
        <v>464.08230731046262</v>
      </c>
      <c r="N67" s="2">
        <f t="shared" si="4"/>
        <v>0.75183635697622853</v>
      </c>
      <c r="O67">
        <f t="shared" si="5"/>
        <v>1.0063521029996079</v>
      </c>
      <c r="P67" s="4">
        <f t="shared" si="6"/>
        <v>0.18502768491749363</v>
      </c>
      <c r="Q67">
        <f t="shared" si="0"/>
        <v>0.51336935223651115</v>
      </c>
      <c r="R67">
        <f t="shared" si="30"/>
        <v>0.30749107250320329</v>
      </c>
      <c r="S67" s="3">
        <f t="shared" si="28"/>
        <v>0.44768464283253084</v>
      </c>
      <c r="T67" s="2">
        <f t="shared" si="9"/>
        <v>0.11479860180138114</v>
      </c>
      <c r="U67" s="3">
        <f t="shared" si="10"/>
        <v>1.8626530103477076E-2</v>
      </c>
      <c r="V67">
        <v>1.3010101010101001</v>
      </c>
      <c r="W67" s="13">
        <f t="shared" si="26"/>
        <v>23.451831442424393</v>
      </c>
      <c r="X67" s="2">
        <f t="shared" si="11"/>
        <v>39.358857280410021</v>
      </c>
      <c r="Y67" s="3">
        <f t="shared" si="12"/>
        <v>68.048065710544691</v>
      </c>
      <c r="Z67" s="13">
        <f t="shared" si="13"/>
        <v>6.1631769934407323</v>
      </c>
      <c r="AA67" s="2">
        <f t="shared" si="14"/>
        <v>0.16225398054676465</v>
      </c>
      <c r="AB67" s="3">
        <f t="shared" si="15"/>
        <v>0.16085220507036904</v>
      </c>
      <c r="AC67">
        <f t="shared" si="16"/>
        <v>1.8620302490583687E-2</v>
      </c>
      <c r="AD67" s="2">
        <f t="shared" si="17"/>
        <v>29537028.105854634</v>
      </c>
      <c r="AE67">
        <f t="shared" si="18"/>
        <v>49571551.65300861</v>
      </c>
      <c r="AF67" s="3">
        <f t="shared" si="19"/>
        <v>85704932.44316186</v>
      </c>
      <c r="AG67">
        <f t="shared" si="20"/>
        <v>20034523.547153972</v>
      </c>
      <c r="AI67" s="2">
        <f t="shared" si="21"/>
        <v>910.85570539320668</v>
      </c>
      <c r="AJ67" s="2">
        <f t="shared" si="22"/>
        <v>2553.6347797441799</v>
      </c>
      <c r="AK67">
        <f t="shared" si="23"/>
        <v>56167904.337307222</v>
      </c>
      <c r="AO67" s="2">
        <f t="shared" si="24"/>
        <v>204.31839388376744</v>
      </c>
      <c r="AP67" s="3">
        <f t="shared" si="25"/>
        <v>201.71707022903416</v>
      </c>
    </row>
    <row r="68" spans="1:42" ht="14.65" thickBot="1" x14ac:dyDescent="0.5">
      <c r="A68" s="2">
        <v>0.70099999999999996</v>
      </c>
      <c r="B68" s="4">
        <f t="shared" si="27"/>
        <v>40000</v>
      </c>
      <c r="C68">
        <v>1.3303030303030301</v>
      </c>
      <c r="D68" s="5">
        <f t="shared" si="1"/>
        <v>1</v>
      </c>
      <c r="F68" s="2">
        <v>389.97</v>
      </c>
      <c r="G68" s="3">
        <v>5.8511999999999995E-4</v>
      </c>
      <c r="H68">
        <v>1.8690377895190999E-2</v>
      </c>
      <c r="I68">
        <v>8.0909338368420999E-2</v>
      </c>
      <c r="J68">
        <v>0</v>
      </c>
      <c r="K68" s="13">
        <v>968.07579999999996</v>
      </c>
      <c r="L68">
        <f t="shared" si="2"/>
        <v>1287.8341703030301</v>
      </c>
      <c r="M68">
        <f t="shared" si="3"/>
        <v>485.21568969453944</v>
      </c>
      <c r="N68" s="2">
        <f t="shared" si="4"/>
        <v>0.75183635697622853</v>
      </c>
      <c r="O68">
        <f t="shared" si="5"/>
        <v>1.0179422422890214</v>
      </c>
      <c r="P68" s="4">
        <f t="shared" si="6"/>
        <v>0.18502768491749363</v>
      </c>
      <c r="Q68">
        <f t="shared" si="0"/>
        <v>0.5343626104062652</v>
      </c>
      <c r="R68">
        <f t="shared" si="30"/>
        <v>0.30509160915222755</v>
      </c>
      <c r="S68" s="3">
        <f t="shared" si="28"/>
        <v>0.45200881085234407</v>
      </c>
      <c r="T68" s="2">
        <f t="shared" si="9"/>
        <v>0.10979859293820267</v>
      </c>
      <c r="U68" s="3">
        <f t="shared" si="10"/>
        <v>1.9665799114855585E-2</v>
      </c>
      <c r="V68">
        <v>1.3303030303030301</v>
      </c>
      <c r="W68" s="13">
        <f t="shared" si="26"/>
        <v>25.887864564105886</v>
      </c>
      <c r="X68" s="2">
        <f t="shared" si="11"/>
        <v>39.051725971485126</v>
      </c>
      <c r="Y68" s="3">
        <f t="shared" si="12"/>
        <v>68.705339249556303</v>
      </c>
      <c r="Z68" s="13">
        <f t="shared" si="13"/>
        <v>5.5832255936785495</v>
      </c>
      <c r="AA68" s="2">
        <f t="shared" si="14"/>
        <v>0.17910793379587275</v>
      </c>
      <c r="AB68" s="3">
        <f t="shared" si="15"/>
        <v>0.17722873370870224</v>
      </c>
      <c r="AC68">
        <f t="shared" si="16"/>
        <v>2.0101861839878356E-2</v>
      </c>
      <c r="AD68" s="2">
        <f t="shared" si="17"/>
        <v>33339276.581832521</v>
      </c>
      <c r="AE68">
        <f t="shared" si="18"/>
        <v>50292147.11538884</v>
      </c>
      <c r="AF68" s="3">
        <f t="shared" si="19"/>
        <v>88481083.567840546</v>
      </c>
      <c r="AG68">
        <f t="shared" si="20"/>
        <v>16952870.53355632</v>
      </c>
      <c r="AI68" s="2">
        <f t="shared" si="21"/>
        <v>770.750490369197</v>
      </c>
      <c r="AJ68" s="2">
        <f t="shared" si="22"/>
        <v>2506.9839759693882</v>
      </c>
      <c r="AK68">
        <f t="shared" si="23"/>
        <v>55141806.986008033</v>
      </c>
      <c r="AO68" s="2">
        <f t="shared" si="24"/>
        <v>230.6199330560452</v>
      </c>
      <c r="AP68" s="3">
        <f t="shared" si="25"/>
        <v>227.0482506327121</v>
      </c>
    </row>
    <row r="69" spans="1:42" ht="14.65" thickBot="1" x14ac:dyDescent="0.5">
      <c r="A69" s="2">
        <v>0.70099999999999996</v>
      </c>
      <c r="B69" s="4">
        <f t="shared" si="27"/>
        <v>40000</v>
      </c>
      <c r="C69">
        <v>1.3595959595959599</v>
      </c>
      <c r="D69" s="5">
        <f t="shared" si="1"/>
        <v>1</v>
      </c>
      <c r="F69" s="2">
        <v>389.97</v>
      </c>
      <c r="G69" s="3">
        <v>5.8511999999999995E-4</v>
      </c>
      <c r="H69">
        <v>1.8662586355456999E-2</v>
      </c>
      <c r="I69">
        <v>8.3265548131475006E-2</v>
      </c>
      <c r="J69">
        <v>0</v>
      </c>
      <c r="K69" s="13">
        <v>968.07579999999996</v>
      </c>
      <c r="L69">
        <f t="shared" si="2"/>
        <v>1316.1919462626265</v>
      </c>
      <c r="M69">
        <f t="shared" si="3"/>
        <v>506.81960420079508</v>
      </c>
      <c r="N69" s="2">
        <f t="shared" si="4"/>
        <v>0.75183635697622853</v>
      </c>
      <c r="O69">
        <f t="shared" si="5"/>
        <v>1.0297904345837268</v>
      </c>
      <c r="P69" s="4">
        <f t="shared" si="6"/>
        <v>0.18502768491749363</v>
      </c>
      <c r="Q69">
        <f t="shared" si="0"/>
        <v>0.55644990232834401</v>
      </c>
      <c r="R69">
        <f t="shared" si="30"/>
        <v>0.30212031651399457</v>
      </c>
      <c r="S69" s="3">
        <f t="shared" si="28"/>
        <v>0.45615274722710786</v>
      </c>
      <c r="T69" s="2">
        <f t="shared" si="9"/>
        <v>0.10511827000853892</v>
      </c>
      <c r="U69" s="3">
        <f t="shared" si="10"/>
        <v>1.9582658229896507E-2</v>
      </c>
      <c r="V69">
        <v>1.3595959595959599</v>
      </c>
      <c r="W69" s="13">
        <f t="shared" si="26"/>
        <v>26.926186128056678</v>
      </c>
      <c r="X69" s="2">
        <f t="shared" si="11"/>
        <v>38.671400513791305</v>
      </c>
      <c r="Y69" s="3">
        <f t="shared" si="12"/>
        <v>69.335217578520385</v>
      </c>
      <c r="Z69" s="13">
        <f t="shared" si="13"/>
        <v>5.3679264977446559</v>
      </c>
      <c r="AA69" s="2">
        <f t="shared" si="14"/>
        <v>0.18629167154582907</v>
      </c>
      <c r="AB69" s="3">
        <f t="shared" si="15"/>
        <v>0.18418040410475417</v>
      </c>
      <c r="AC69">
        <f t="shared" si="16"/>
        <v>2.0457643890402562E-2</v>
      </c>
      <c r="AD69" s="2">
        <f t="shared" si="17"/>
        <v>35440029.325316653</v>
      </c>
      <c r="AE69">
        <f t="shared" si="18"/>
        <v>50898985.906948507</v>
      </c>
      <c r="AF69" s="3">
        <f t="shared" si="19"/>
        <v>91258454.969215423</v>
      </c>
      <c r="AG69">
        <f t="shared" si="20"/>
        <v>15458956.581631858</v>
      </c>
      <c r="AI69" s="2">
        <f t="shared" si="21"/>
        <v>702.83072959853428</v>
      </c>
      <c r="AJ69" s="2">
        <f t="shared" si="22"/>
        <v>2537.7459735514476</v>
      </c>
      <c r="AK69">
        <f t="shared" si="23"/>
        <v>55818425.643898763</v>
      </c>
      <c r="AO69" s="2">
        <f t="shared" si="24"/>
        <v>245.15160580786542</v>
      </c>
      <c r="AP69" s="3">
        <f t="shared" si="25"/>
        <v>241.04852670104637</v>
      </c>
    </row>
    <row r="70" spans="1:42" ht="14.65" thickBot="1" x14ac:dyDescent="0.5">
      <c r="A70" s="2">
        <v>0.70099999999999996</v>
      </c>
      <c r="B70" s="4">
        <f t="shared" si="27"/>
        <v>40000</v>
      </c>
      <c r="C70">
        <v>1.38888888888888</v>
      </c>
      <c r="D70" s="5">
        <f t="shared" si="1"/>
        <v>1</v>
      </c>
      <c r="F70" s="2">
        <v>389.97</v>
      </c>
      <c r="G70" s="3">
        <v>5.8511999999999995E-4</v>
      </c>
      <c r="H70">
        <v>1.8642493647823E-2</v>
      </c>
      <c r="I70">
        <v>8.5620074493185996E-2</v>
      </c>
      <c r="J70">
        <v>0</v>
      </c>
      <c r="K70" s="13">
        <v>968.07579999999996</v>
      </c>
      <c r="L70">
        <f t="shared" si="2"/>
        <v>1344.5497222222136</v>
      </c>
      <c r="M70">
        <f t="shared" si="3"/>
        <v>528.89405082922246</v>
      </c>
      <c r="N70" s="2">
        <f t="shared" si="4"/>
        <v>0.75183635697622853</v>
      </c>
      <c r="O70">
        <f t="shared" si="5"/>
        <v>1.0418966798837201</v>
      </c>
      <c r="P70" s="4">
        <f t="shared" si="6"/>
        <v>0.18502768491749363</v>
      </c>
      <c r="Q70">
        <f t="shared" si="0"/>
        <v>0.57968407908499697</v>
      </c>
      <c r="R70">
        <f t="shared" si="30"/>
        <v>0.29852167626136611</v>
      </c>
      <c r="S70" s="3">
        <f t="shared" si="28"/>
        <v>0.46008517654988329</v>
      </c>
      <c r="T70" s="2">
        <f t="shared" si="9"/>
        <v>0.10073094964193988</v>
      </c>
      <c r="U70" s="3">
        <f t="shared" si="10"/>
        <v>1.9511256931038785E-2</v>
      </c>
      <c r="V70">
        <v>1.38888888888888</v>
      </c>
      <c r="W70" s="13">
        <f t="shared" si="26"/>
        <v>27.996498870867832</v>
      </c>
      <c r="X70" s="2">
        <f t="shared" si="11"/>
        <v>38.210774561454862</v>
      </c>
      <c r="Y70" s="3">
        <f t="shared" si="12"/>
        <v>69.932946835582257</v>
      </c>
      <c r="Z70" s="13">
        <f t="shared" si="13"/>
        <v>5.1627094040105455</v>
      </c>
      <c r="AA70" s="2">
        <f t="shared" si="14"/>
        <v>0.19369674365618378</v>
      </c>
      <c r="AB70" s="3">
        <f t="shared" si="15"/>
        <v>0.19132745529084785</v>
      </c>
      <c r="AC70">
        <f t="shared" si="16"/>
        <v>2.0822211635726218E-2</v>
      </c>
      <c r="AD70" s="2">
        <f t="shared" si="17"/>
        <v>37642684.780019857</v>
      </c>
      <c r="AE70">
        <f t="shared" si="18"/>
        <v>51376286.322499767</v>
      </c>
      <c r="AF70" s="3">
        <f t="shared" si="19"/>
        <v>94028324.241962954</v>
      </c>
      <c r="AG70">
        <f t="shared" si="20"/>
        <v>13733601.542479901</v>
      </c>
      <c r="AI70" s="2">
        <f t="shared" si="21"/>
        <v>624.388660460148</v>
      </c>
      <c r="AJ70" s="2">
        <f t="shared" si="22"/>
        <v>2563.5339560371581</v>
      </c>
      <c r="AK70">
        <f t="shared" si="23"/>
        <v>56385639.461943105</v>
      </c>
      <c r="AO70" s="2">
        <f t="shared" si="24"/>
        <v>260.38817677131567</v>
      </c>
      <c r="AP70" s="3">
        <f t="shared" si="25"/>
        <v>255.68266080314874</v>
      </c>
    </row>
    <row r="71" spans="1:42" ht="14.65" thickBot="1" x14ac:dyDescent="0.5">
      <c r="A71" s="2">
        <v>0.70099999999999996</v>
      </c>
      <c r="B71" s="4">
        <f t="shared" si="27"/>
        <v>40000</v>
      </c>
      <c r="C71">
        <v>1.41818181818181</v>
      </c>
      <c r="D71" s="5">
        <f t="shared" si="1"/>
        <v>1</v>
      </c>
      <c r="F71" s="2">
        <v>389.97</v>
      </c>
      <c r="G71" s="3">
        <v>5.8511999999999995E-4</v>
      </c>
      <c r="H71">
        <v>1.8625917391865001E-2</v>
      </c>
      <c r="I71">
        <v>8.7967071565518001E-2</v>
      </c>
      <c r="J71">
        <v>0</v>
      </c>
      <c r="K71" s="13">
        <v>968.07579999999996</v>
      </c>
      <c r="L71">
        <f t="shared" si="2"/>
        <v>1372.9074981818103</v>
      </c>
      <c r="M71">
        <f t="shared" si="3"/>
        <v>551.4390295798363</v>
      </c>
      <c r="N71" s="2">
        <f t="shared" si="4"/>
        <v>0.75183635697622853</v>
      </c>
      <c r="O71">
        <f t="shared" si="5"/>
        <v>1.05426097818901</v>
      </c>
      <c r="P71" s="4">
        <f t="shared" si="6"/>
        <v>0.18502768491749363</v>
      </c>
      <c r="Q71">
        <f t="shared" si="0"/>
        <v>0.60412046173134548</v>
      </c>
      <c r="R71">
        <f t="shared" si="30"/>
        <v>0.29423651593865902</v>
      </c>
      <c r="S71" s="3">
        <f t="shared" si="28"/>
        <v>0.46377263909787786</v>
      </c>
      <c r="T71" s="2">
        <f t="shared" si="9"/>
        <v>9.6612675458596281E-2</v>
      </c>
      <c r="U71" s="3">
        <f t="shared" si="10"/>
        <v>1.9447002834774827E-2</v>
      </c>
      <c r="V71">
        <v>1.41818181818181</v>
      </c>
      <c r="W71" s="13">
        <f t="shared" si="26"/>
        <v>29.093768075729081</v>
      </c>
      <c r="X71" s="2">
        <f t="shared" si="11"/>
        <v>37.662274040148354</v>
      </c>
      <c r="Y71" s="3">
        <f t="shared" si="12"/>
        <v>70.49344114287743</v>
      </c>
      <c r="Z71" s="13">
        <f t="shared" si="13"/>
        <v>4.9679982195423449</v>
      </c>
      <c r="AA71" s="2">
        <f t="shared" si="14"/>
        <v>0.20128831690525859</v>
      </c>
      <c r="AB71" s="3">
        <f t="shared" si="15"/>
        <v>0.19863401863941396</v>
      </c>
      <c r="AC71">
        <f t="shared" si="16"/>
        <v>2.1191353470105583E-2</v>
      </c>
      <c r="AD71" s="2">
        <f t="shared" si="17"/>
        <v>39943052.341531031</v>
      </c>
      <c r="AE71">
        <f t="shared" si="18"/>
        <v>51706818.428297818</v>
      </c>
      <c r="AF71" s="3">
        <f t="shared" si="19"/>
        <v>96780973.917694539</v>
      </c>
      <c r="AG71">
        <f t="shared" si="20"/>
        <v>11763766.086766785</v>
      </c>
      <c r="AI71" s="2">
        <f t="shared" si="21"/>
        <v>534.83145889759817</v>
      </c>
      <c r="AJ71" s="2">
        <f t="shared" si="22"/>
        <v>2584.096648392449</v>
      </c>
      <c r="AK71">
        <f t="shared" si="23"/>
        <v>56837921.576163515</v>
      </c>
      <c r="AO71" s="2">
        <f t="shared" si="24"/>
        <v>276.300658007609</v>
      </c>
      <c r="AP71" s="3">
        <f t="shared" si="25"/>
        <v>270.91637642271388</v>
      </c>
    </row>
    <row r="72" spans="1:42" ht="14.65" thickBot="1" x14ac:dyDescent="0.5">
      <c r="A72" s="2">
        <v>0.70099999999999996</v>
      </c>
      <c r="B72" s="4">
        <f t="shared" si="27"/>
        <v>40000</v>
      </c>
      <c r="C72">
        <v>1.44747474747474</v>
      </c>
      <c r="D72" s="5">
        <f t="shared" si="1"/>
        <v>1</v>
      </c>
      <c r="F72" s="2">
        <v>389.97</v>
      </c>
      <c r="G72" s="3">
        <v>5.8511999999999995E-4</v>
      </c>
      <c r="H72">
        <v>1.8611478486910998E-2</v>
      </c>
      <c r="I72">
        <v>9.0303129626000997E-2</v>
      </c>
      <c r="J72">
        <v>0</v>
      </c>
      <c r="K72" s="13">
        <v>968.07579999999996</v>
      </c>
      <c r="L72">
        <f t="shared" si="2"/>
        <v>1401.265274141407</v>
      </c>
      <c r="M72">
        <f t="shared" si="3"/>
        <v>574.45454045262909</v>
      </c>
      <c r="N72" s="2">
        <f t="shared" si="4"/>
        <v>0.75183635697622853</v>
      </c>
      <c r="O72">
        <f t="shared" si="5"/>
        <v>1.0668833294995919</v>
      </c>
      <c r="P72" s="4">
        <f t="shared" si="6"/>
        <v>0.18502768491749363</v>
      </c>
      <c r="Q72">
        <f t="shared" si="0"/>
        <v>0.62981693683236228</v>
      </c>
      <c r="R72">
        <f t="shared" si="30"/>
        <v>0.28920180789586986</v>
      </c>
      <c r="S72" s="3">
        <f t="shared" si="28"/>
        <v>0.4671793737821428</v>
      </c>
      <c r="T72" s="2">
        <f t="shared" si="9"/>
        <v>9.2741890347010428E-2</v>
      </c>
      <c r="U72" s="3">
        <f t="shared" si="10"/>
        <v>1.9388180962736319E-2</v>
      </c>
      <c r="V72">
        <v>1.44747474747474</v>
      </c>
      <c r="W72" s="13">
        <f t="shared" si="26"/>
        <v>30.216386351542077</v>
      </c>
      <c r="X72" s="2">
        <f t="shared" si="11"/>
        <v>37.017831410671342</v>
      </c>
      <c r="Y72" s="3">
        <f t="shared" si="12"/>
        <v>71.011264814885706</v>
      </c>
      <c r="Z72" s="13">
        <f t="shared" si="13"/>
        <v>4.7834240110126069</v>
      </c>
      <c r="AA72" s="2">
        <f t="shared" si="14"/>
        <v>0.20905527038743721</v>
      </c>
      <c r="AB72" s="3">
        <f t="shared" si="15"/>
        <v>0.2060871957520464</v>
      </c>
      <c r="AC72">
        <f t="shared" si="16"/>
        <v>2.1563644592603261E-2</v>
      </c>
      <c r="AD72" s="2">
        <f t="shared" si="17"/>
        <v>42341172.904456273</v>
      </c>
      <c r="AE72">
        <f t="shared" si="18"/>
        <v>51871801.679794766</v>
      </c>
      <c r="AF72" s="3">
        <f t="shared" si="19"/>
        <v>99505619.457958862</v>
      </c>
      <c r="AG72">
        <f t="shared" si="20"/>
        <v>9530628.7753384896</v>
      </c>
      <c r="AI72" s="2">
        <f t="shared" si="21"/>
        <v>433.30342124531961</v>
      </c>
      <c r="AJ72" s="2">
        <f t="shared" si="22"/>
        <v>2598.941879818226</v>
      </c>
      <c r="AK72">
        <f t="shared" si="23"/>
        <v>57164446.553502589</v>
      </c>
      <c r="AO72" s="2">
        <f t="shared" si="24"/>
        <v>292.88933239964786</v>
      </c>
      <c r="AP72" s="3">
        <f t="shared" si="25"/>
        <v>286.74297337107521</v>
      </c>
    </row>
    <row r="73" spans="1:42" ht="14.65" thickBot="1" x14ac:dyDescent="0.5">
      <c r="A73" s="2">
        <v>0.70099999999999996</v>
      </c>
      <c r="B73" s="4">
        <f t="shared" si="27"/>
        <v>40000</v>
      </c>
      <c r="C73">
        <v>1.4767676767676701</v>
      </c>
      <c r="D73" s="5">
        <f t="shared" si="1"/>
        <v>1</v>
      </c>
      <c r="F73" s="2">
        <v>389.97</v>
      </c>
      <c r="G73" s="3">
        <v>5.8511999999999995E-4</v>
      </c>
      <c r="H73">
        <v>1.8598516194991001E-2</v>
      </c>
      <c r="I73">
        <v>9.2626337305261999E-2</v>
      </c>
      <c r="J73">
        <v>0</v>
      </c>
      <c r="K73" s="13">
        <v>968.07579999999996</v>
      </c>
      <c r="L73">
        <f t="shared" si="2"/>
        <v>1429.6230501010036</v>
      </c>
      <c r="M73">
        <f t="shared" si="3"/>
        <v>597.94058344760106</v>
      </c>
      <c r="N73" s="2">
        <f t="shared" si="4"/>
        <v>0.75183635697622853</v>
      </c>
      <c r="O73">
        <f t="shared" si="5"/>
        <v>1.079763733815466</v>
      </c>
      <c r="P73" s="4">
        <f t="shared" si="6"/>
        <v>0.18502768491749363</v>
      </c>
      <c r="Q73">
        <f t="shared" si="0"/>
        <v>0.65683405505524251</v>
      </c>
      <c r="R73">
        <f t="shared" si="30"/>
        <v>0.28335045984508395</v>
      </c>
      <c r="S73" s="3">
        <f t="shared" si="28"/>
        <v>0.47026719683118273</v>
      </c>
      <c r="T73" s="2">
        <f t="shared" si="9"/>
        <v>8.909915378685565E-2</v>
      </c>
      <c r="U73" s="3">
        <f t="shared" si="10"/>
        <v>1.9333845120314296E-2</v>
      </c>
      <c r="V73">
        <v>1.4767676767676701</v>
      </c>
      <c r="W73" s="13">
        <f t="shared" si="26"/>
        <v>31.363611083330813</v>
      </c>
      <c r="X73" s="2">
        <f t="shared" si="11"/>
        <v>36.268858860170745</v>
      </c>
      <c r="Y73" s="3">
        <f t="shared" si="12"/>
        <v>71.48061391833977</v>
      </c>
      <c r="Z73" s="13">
        <f t="shared" si="13"/>
        <v>4.6084549261873491</v>
      </c>
      <c r="AA73" s="2">
        <f t="shared" si="14"/>
        <v>0.21699246624232832</v>
      </c>
      <c r="AB73" s="3">
        <f t="shared" si="15"/>
        <v>0.21367981205334408</v>
      </c>
      <c r="AC73">
        <f t="shared" si="16"/>
        <v>2.1938378148781915E-2</v>
      </c>
      <c r="AD73" s="2">
        <f t="shared" si="17"/>
        <v>44838141.339133039</v>
      </c>
      <c r="AE73">
        <f t="shared" si="18"/>
        <v>51850796.627360113</v>
      </c>
      <c r="AF73" s="3">
        <f t="shared" si="19"/>
        <v>102190333.29302914</v>
      </c>
      <c r="AG73">
        <f t="shared" si="20"/>
        <v>7012655.288227072</v>
      </c>
      <c r="AI73" s="2">
        <f t="shared" si="21"/>
        <v>318.82550459478517</v>
      </c>
      <c r="AJ73" s="2">
        <f t="shared" si="22"/>
        <v>2607.477594116961</v>
      </c>
      <c r="AK73">
        <f t="shared" si="23"/>
        <v>57352191.95389612</v>
      </c>
      <c r="AO73" s="2">
        <f t="shared" si="24"/>
        <v>310.16177356479329</v>
      </c>
      <c r="AP73" s="3">
        <f t="shared" si="25"/>
        <v>303.1622188866076</v>
      </c>
    </row>
    <row r="74" spans="1:42" ht="14.65" thickBot="1" x14ac:dyDescent="0.5">
      <c r="A74" s="2">
        <v>0.70099999999999996</v>
      </c>
      <c r="B74" s="4">
        <f t="shared" si="27"/>
        <v>40000</v>
      </c>
      <c r="C74">
        <v>1.5060606060606001</v>
      </c>
      <c r="D74" s="5">
        <f t="shared" si="1"/>
        <v>1</v>
      </c>
      <c r="F74" s="2">
        <v>389.97</v>
      </c>
      <c r="G74" s="3">
        <v>5.8511999999999995E-4</v>
      </c>
      <c r="H74">
        <v>1.8586653058670001E-2</v>
      </c>
      <c r="I74">
        <v>9.4935721019582003E-2</v>
      </c>
      <c r="J74">
        <v>0</v>
      </c>
      <c r="K74" s="13">
        <v>968.07579999999996</v>
      </c>
      <c r="L74">
        <f t="shared" si="2"/>
        <v>1457.9808260606003</v>
      </c>
      <c r="M74">
        <f t="shared" si="3"/>
        <v>621.89715856475209</v>
      </c>
      <c r="N74" s="2">
        <f t="shared" si="4"/>
        <v>0.75183635697622853</v>
      </c>
      <c r="O74">
        <f t="shared" si="5"/>
        <v>1.0929021911366321</v>
      </c>
      <c r="P74" s="4">
        <f t="shared" si="6"/>
        <v>0.18502768491749363</v>
      </c>
      <c r="Q74">
        <f t="shared" si="0"/>
        <v>0.68523513287175797</v>
      </c>
      <c r="R74">
        <f t="shared" si="30"/>
        <v>0.27661109678197326</v>
      </c>
      <c r="S74" s="3">
        <f t="shared" si="28"/>
        <v>0.47299537610923575</v>
      </c>
      <c r="T74" s="2">
        <f t="shared" si="9"/>
        <v>8.5666897277603307E-2</v>
      </c>
      <c r="U74" s="3">
        <f t="shared" si="10"/>
        <v>1.9283368969448465E-2</v>
      </c>
      <c r="V74">
        <v>1.5060606060606001</v>
      </c>
      <c r="W74" s="13">
        <f t="shared" si="26"/>
        <v>32.535034938875945</v>
      </c>
      <c r="X74" s="2">
        <f t="shared" si="11"/>
        <v>35.406220388092578</v>
      </c>
      <c r="Y74" s="3">
        <f t="shared" si="12"/>
        <v>71.895297168603832</v>
      </c>
      <c r="Z74" s="13">
        <f t="shared" si="13"/>
        <v>4.4425275175374876</v>
      </c>
      <c r="AA74" s="2">
        <f t="shared" si="14"/>
        <v>0.22509708629881586</v>
      </c>
      <c r="AB74" s="3">
        <f t="shared" si="15"/>
        <v>0.22140684856311987</v>
      </c>
      <c r="AC74">
        <f t="shared" si="16"/>
        <v>2.2315132241336924E-2</v>
      </c>
      <c r="AD74" s="2">
        <f t="shared" si="17"/>
        <v>47435457.116092846</v>
      </c>
      <c r="AE74">
        <f t="shared" si="18"/>
        <v>51621590.449114881</v>
      </c>
      <c r="AF74" s="3">
        <f t="shared" si="19"/>
        <v>104821964.75575335</v>
      </c>
      <c r="AG74">
        <f t="shared" si="20"/>
        <v>4186133.333022045</v>
      </c>
      <c r="AI74" s="2">
        <f t="shared" si="21"/>
        <v>190.31964603228437</v>
      </c>
      <c r="AJ74" s="2">
        <f t="shared" si="22"/>
        <v>2609.0377329487833</v>
      </c>
      <c r="AK74">
        <f t="shared" si="23"/>
        <v>57386507.639660507</v>
      </c>
      <c r="AO74" s="2">
        <f t="shared" si="24"/>
        <v>328.12835388748357</v>
      </c>
      <c r="AP74" s="3">
        <f t="shared" si="25"/>
        <v>320.17601068587823</v>
      </c>
    </row>
    <row r="75" spans="1:42" ht="14.65" thickBot="1" x14ac:dyDescent="0.5">
      <c r="A75" s="2">
        <v>0.70099999999999996</v>
      </c>
      <c r="B75" s="4">
        <f t="shared" si="27"/>
        <v>40000</v>
      </c>
      <c r="C75">
        <v>1.5353535353535299</v>
      </c>
      <c r="D75" s="5">
        <f t="shared" si="1"/>
        <v>1</v>
      </c>
      <c r="F75" s="2">
        <v>389.97</v>
      </c>
      <c r="G75" s="3">
        <v>5.8511999999999995E-4</v>
      </c>
      <c r="H75">
        <v>1.8575649379514E-2</v>
      </c>
      <c r="I75">
        <v>9.7230900232907994E-2</v>
      </c>
      <c r="J75">
        <v>0</v>
      </c>
      <c r="K75" s="13">
        <v>968.07579999999996</v>
      </c>
      <c r="L75">
        <f t="shared" si="2"/>
        <v>1486.3386020201967</v>
      </c>
      <c r="M75">
        <f t="shared" si="3"/>
        <v>646.32426580408196</v>
      </c>
      <c r="N75" s="2">
        <f t="shared" si="4"/>
        <v>0.75183635697622853</v>
      </c>
      <c r="O75">
        <f t="shared" si="5"/>
        <v>1.1062987014630903</v>
      </c>
      <c r="P75" s="4">
        <f t="shared" si="6"/>
        <v>0.18502768491749363</v>
      </c>
      <c r="Q75">
        <f t="shared" si="0"/>
        <v>0.71508635742574944</v>
      </c>
      <c r="R75">
        <f t="shared" si="30"/>
        <v>0.26890783401116147</v>
      </c>
      <c r="S75" s="3">
        <f t="shared" si="28"/>
        <v>0.47532050097000428</v>
      </c>
      <c r="T75" s="2">
        <f t="shared" si="9"/>
        <v>8.2429212113396599E-2</v>
      </c>
      <c r="U75" s="3">
        <f t="shared" si="10"/>
        <v>1.9236292024400862E-2</v>
      </c>
      <c r="V75">
        <v>1.5353535353535299</v>
      </c>
      <c r="W75" s="13">
        <f t="shared" si="26"/>
        <v>33.730409732705304</v>
      </c>
      <c r="X75" s="2">
        <f t="shared" si="11"/>
        <v>34.420202753428669</v>
      </c>
      <c r="Y75" s="3">
        <f t="shared" si="12"/>
        <v>72.248716147440646</v>
      </c>
      <c r="Z75" s="13">
        <f t="shared" si="13"/>
        <v>4.2850884156279569</v>
      </c>
      <c r="AA75" s="2">
        <f t="shared" si="14"/>
        <v>0.23336741345941525</v>
      </c>
      <c r="AB75" s="3">
        <f t="shared" si="15"/>
        <v>0.22926425349001209</v>
      </c>
      <c r="AC75">
        <f t="shared" si="16"/>
        <v>2.2693624243398994E-2</v>
      </c>
      <c r="AD75" s="2">
        <f t="shared" si="17"/>
        <v>50134810.047677636</v>
      </c>
      <c r="AE75">
        <f t="shared" si="18"/>
        <v>51160076.041782893</v>
      </c>
      <c r="AF75" s="3">
        <f t="shared" si="19"/>
        <v>107386055.75634094</v>
      </c>
      <c r="AG75">
        <f t="shared" si="20"/>
        <v>1025265.994105256</v>
      </c>
      <c r="AI75" s="2">
        <f t="shared" si="21"/>
        <v>46.613006697085751</v>
      </c>
      <c r="AJ75" s="2">
        <f t="shared" si="22"/>
        <v>2602.888143152883</v>
      </c>
      <c r="AK75">
        <f t="shared" si="23"/>
        <v>57251245.708663307</v>
      </c>
      <c r="AO75" s="2">
        <f t="shared" si="24"/>
        <v>346.80076241586642</v>
      </c>
      <c r="AP75" s="3">
        <f t="shared" si="25"/>
        <v>337.78693116547743</v>
      </c>
    </row>
    <row r="76" spans="1:42" ht="14.65" thickBot="1" x14ac:dyDescent="0.5">
      <c r="A76" s="2">
        <v>0.70099999999999996</v>
      </c>
      <c r="B76" s="4">
        <f t="shared" si="27"/>
        <v>40000</v>
      </c>
      <c r="C76">
        <v>1.56464646464646</v>
      </c>
      <c r="D76" s="5">
        <f t="shared" si="1"/>
        <v>1</v>
      </c>
      <c r="F76" s="2">
        <v>389.97</v>
      </c>
      <c r="G76" s="3">
        <v>5.8511999999999995E-4</v>
      </c>
      <c r="H76">
        <v>1.8565341673863998E-2</v>
      </c>
      <c r="I76">
        <v>9.9511870492462004E-2</v>
      </c>
      <c r="J76">
        <v>0</v>
      </c>
      <c r="K76" s="13">
        <v>968.07579999999996</v>
      </c>
      <c r="L76">
        <f t="shared" si="2"/>
        <v>1514.6963779797934</v>
      </c>
      <c r="M76">
        <f t="shared" si="3"/>
        <v>671.22190516559112</v>
      </c>
      <c r="N76" s="2">
        <f t="shared" si="4"/>
        <v>0.75183635697622853</v>
      </c>
      <c r="O76">
        <f t="shared" si="5"/>
        <v>1.1199532647948407</v>
      </c>
      <c r="P76" s="4">
        <f t="shared" si="6"/>
        <v>0.18502768491749363</v>
      </c>
      <c r="Q76">
        <f t="shared" si="0"/>
        <v>0.74645689462121845</v>
      </c>
      <c r="R76">
        <f t="shared" si="30"/>
        <v>0.26016004101014134</v>
      </c>
      <c r="S76" s="3">
        <f t="shared" si="28"/>
        <v>0.47719634754656615</v>
      </c>
      <c r="T76" s="2">
        <f t="shared" si="9"/>
        <v>7.9371664705812528E-2</v>
      </c>
      <c r="U76" s="3">
        <f t="shared" si="10"/>
        <v>1.9192252641556495E-2</v>
      </c>
      <c r="V76">
        <v>1.56464646464646</v>
      </c>
      <c r="W76" s="13">
        <f t="shared" si="26"/>
        <v>34.949572417681537</v>
      </c>
      <c r="X76" s="2">
        <f t="shared" si="11"/>
        <v>33.300485249298092</v>
      </c>
      <c r="Y76" s="3">
        <f t="shared" si="12"/>
        <v>72.533844827078056</v>
      </c>
      <c r="Z76" s="13">
        <f t="shared" si="13"/>
        <v>4.1356096227053145</v>
      </c>
      <c r="AA76" s="2">
        <f t="shared" si="14"/>
        <v>0.241802319665232</v>
      </c>
      <c r="AB76" s="3">
        <f t="shared" si="15"/>
        <v>0.23724844240592419</v>
      </c>
      <c r="AC76">
        <f t="shared" si="16"/>
        <v>2.3073648901369311E-2</v>
      </c>
      <c r="AD76" s="2">
        <f t="shared" si="17"/>
        <v>52937990.753004715</v>
      </c>
      <c r="AE76">
        <f t="shared" si="18"/>
        <v>50440124.392081358</v>
      </c>
      <c r="AF76" s="3">
        <f t="shared" si="19"/>
        <v>109866752.04052351</v>
      </c>
      <c r="AG76">
        <f t="shared" si="20"/>
        <v>-2497866.3609233522</v>
      </c>
      <c r="AI76" s="2">
        <f t="shared" si="21"/>
        <v>-113.56376011647193</v>
      </c>
      <c r="AJ76" s="2">
        <f t="shared" si="22"/>
        <v>2588.2266128095948</v>
      </c>
      <c r="AK76">
        <f t="shared" si="23"/>
        <v>56928761.287518784</v>
      </c>
      <c r="AO76" s="2">
        <f t="shared" si="24"/>
        <v>366.19138551531324</v>
      </c>
      <c r="AP76" s="3">
        <f t="shared" si="25"/>
        <v>355.99763195399896</v>
      </c>
    </row>
    <row r="77" spans="1:42" ht="14.65" thickBot="1" x14ac:dyDescent="0.5">
      <c r="A77" s="2">
        <v>0.70099999999999996</v>
      </c>
      <c r="B77" s="4">
        <f t="shared" si="27"/>
        <v>40000</v>
      </c>
      <c r="C77">
        <v>1.59393939393939</v>
      </c>
      <c r="D77" s="5">
        <f t="shared" si="1"/>
        <v>1</v>
      </c>
      <c r="F77" s="2">
        <v>389.97</v>
      </c>
      <c r="G77" s="3">
        <v>5.8511999999999995E-4</v>
      </c>
      <c r="H77">
        <v>1.8555612526858001E-2</v>
      </c>
      <c r="I77">
        <v>0.101778864326256</v>
      </c>
      <c r="J77">
        <v>0</v>
      </c>
      <c r="K77" s="13">
        <v>968.07579999999996</v>
      </c>
      <c r="L77">
        <f t="shared" si="2"/>
        <v>1543.0541539393901</v>
      </c>
      <c r="M77">
        <f t="shared" si="3"/>
        <v>696.59007664927935</v>
      </c>
      <c r="N77" s="2">
        <f t="shared" si="4"/>
        <v>0.75183635697622853</v>
      </c>
      <c r="O77">
        <f t="shared" si="5"/>
        <v>1.1338658811318831</v>
      </c>
      <c r="P77" s="4">
        <f t="shared" si="6"/>
        <v>0.18502768491749363</v>
      </c>
      <c r="Q77">
        <f t="shared" si="0"/>
        <v>0.77941900048683088</v>
      </c>
      <c r="R77">
        <f t="shared" si="30"/>
        <v>0.25028209586230771</v>
      </c>
      <c r="S77" s="3">
        <f t="shared" si="28"/>
        <v>0.47857373937811226</v>
      </c>
      <c r="T77" s="2">
        <f t="shared" si="9"/>
        <v>7.6481135442334924E-2</v>
      </c>
      <c r="U77" s="3">
        <f t="shared" si="10"/>
        <v>1.9150954159803491E-2</v>
      </c>
      <c r="V77">
        <v>1.59393939393939</v>
      </c>
      <c r="W77" s="13">
        <f t="shared" si="26"/>
        <v>36.192409230566838</v>
      </c>
      <c r="X77" s="2">
        <f t="shared" si="11"/>
        <v>32.036108270375387</v>
      </c>
      <c r="Y77" s="3">
        <f t="shared" si="12"/>
        <v>72.743208385473054</v>
      </c>
      <c r="Z77" s="13">
        <f t="shared" si="13"/>
        <v>3.9935939903643787</v>
      </c>
      <c r="AA77" s="2">
        <f t="shared" si="14"/>
        <v>0.2504010178332523</v>
      </c>
      <c r="AB77" s="3">
        <f t="shared" si="15"/>
        <v>0.24535605604817337</v>
      </c>
      <c r="AC77">
        <f t="shared" si="16"/>
        <v>2.3455047989189657E-2</v>
      </c>
      <c r="AD77" s="2">
        <f t="shared" si="17"/>
        <v>55846847.404300481</v>
      </c>
      <c r="AE77">
        <f t="shared" si="18"/>
        <v>49433449.942654788</v>
      </c>
      <c r="AF77" s="3">
        <f t="shared" si="19"/>
        <v>112246709.87008287</v>
      </c>
      <c r="AG77">
        <f t="shared" si="20"/>
        <v>-6413397.4616456963</v>
      </c>
      <c r="AI77" s="2">
        <f t="shared" si="21"/>
        <v>-291.58066350542879</v>
      </c>
      <c r="AJ77" s="2">
        <f t="shared" si="22"/>
        <v>2564.180595033306</v>
      </c>
      <c r="AK77">
        <f t="shared" si="23"/>
        <v>56399862.465782389</v>
      </c>
      <c r="AO77" s="2">
        <f t="shared" si="24"/>
        <v>386.31300766703743</v>
      </c>
      <c r="AP77" s="3">
        <f t="shared" si="25"/>
        <v>374.81052759280232</v>
      </c>
    </row>
    <row r="78" spans="1:42" ht="14.65" thickBot="1" x14ac:dyDescent="0.5">
      <c r="A78" s="2">
        <v>0.70099999999999996</v>
      </c>
      <c r="B78" s="4">
        <f t="shared" si="27"/>
        <v>40000</v>
      </c>
      <c r="C78">
        <v>1.62323232323232</v>
      </c>
      <c r="D78" s="5">
        <f t="shared" si="1"/>
        <v>1</v>
      </c>
      <c r="F78" s="2">
        <v>389.97</v>
      </c>
      <c r="G78" s="3">
        <v>5.8511999999999995E-4</v>
      </c>
      <c r="H78">
        <v>1.8546374238034E-2</v>
      </c>
      <c r="I78">
        <v>0.104032260767163</v>
      </c>
      <c r="J78">
        <v>0</v>
      </c>
      <c r="K78" s="13">
        <v>968.07579999999996</v>
      </c>
      <c r="L78">
        <f t="shared" si="2"/>
        <v>1571.4119298989867</v>
      </c>
      <c r="M78">
        <f t="shared" si="3"/>
        <v>722.42878025514665</v>
      </c>
      <c r="N78" s="2">
        <f t="shared" si="4"/>
        <v>0.75183635697622853</v>
      </c>
      <c r="O78">
        <f t="shared" si="5"/>
        <v>1.1480365504742178</v>
      </c>
      <c r="P78" s="4">
        <f t="shared" si="6"/>
        <v>0.18502768491749363</v>
      </c>
      <c r="Q78">
        <f t="shared" si="0"/>
        <v>0.81404813587298597</v>
      </c>
      <c r="R78">
        <f t="shared" si="30"/>
        <v>0.23918312998555025</v>
      </c>
      <c r="S78" s="3">
        <f t="shared" si="28"/>
        <v>0.47940040327406314</v>
      </c>
      <c r="T78" s="2">
        <f t="shared" si="9"/>
        <v>7.3745677713980384E-2</v>
      </c>
      <c r="U78" s="3">
        <f t="shared" si="10"/>
        <v>1.9112145883871466E-2</v>
      </c>
      <c r="V78">
        <v>1.62323232323232</v>
      </c>
      <c r="W78" s="13">
        <f t="shared" si="26"/>
        <v>37.458836580254214</v>
      </c>
      <c r="X78" s="2">
        <f t="shared" si="11"/>
        <v>30.615440638150432</v>
      </c>
      <c r="Y78" s="3">
        <f t="shared" si="12"/>
        <v>72.868861297657602</v>
      </c>
      <c r="Z78" s="13">
        <f t="shared" si="13"/>
        <v>3.858576538818363</v>
      </c>
      <c r="AA78" s="2">
        <f t="shared" si="14"/>
        <v>0.25916292962954585</v>
      </c>
      <c r="AB78" s="3">
        <f t="shared" si="15"/>
        <v>0.2535838314300865</v>
      </c>
      <c r="AC78">
        <f t="shared" si="16"/>
        <v>2.383769390287252E-2</v>
      </c>
      <c r="AD78" s="2">
        <f t="shared" si="17"/>
        <v>58863262.682348035</v>
      </c>
      <c r="AE78">
        <f t="shared" si="18"/>
        <v>48109468.657903835</v>
      </c>
      <c r="AF78" s="3">
        <f t="shared" si="19"/>
        <v>114506997.96129371</v>
      </c>
      <c r="AG78">
        <f t="shared" si="20"/>
        <v>-10753794.024444206</v>
      </c>
      <c r="AI78" s="2">
        <f t="shared" si="21"/>
        <v>-488.91378019218428</v>
      </c>
      <c r="AJ78" s="2">
        <f t="shared" si="22"/>
        <v>2529.8037973763949</v>
      </c>
      <c r="AK78">
        <f t="shared" si="23"/>
        <v>55643735.27894567</v>
      </c>
      <c r="AO78" s="2">
        <f t="shared" si="24"/>
        <v>407.17865206052238</v>
      </c>
      <c r="AP78" s="3">
        <f t="shared" si="25"/>
        <v>394.22762503692593</v>
      </c>
    </row>
    <row r="79" spans="1:42" ht="14.65" thickBot="1" x14ac:dyDescent="0.5">
      <c r="A79" s="2">
        <v>0.70099999999999996</v>
      </c>
      <c r="B79" s="4">
        <f t="shared" si="27"/>
        <v>40000</v>
      </c>
      <c r="C79">
        <v>1.6525252525252501</v>
      </c>
      <c r="D79" s="5">
        <f t="shared" si="1"/>
        <v>1</v>
      </c>
      <c r="F79" s="2">
        <v>389.97</v>
      </c>
      <c r="G79" s="3">
        <v>5.8511999999999995E-4</v>
      </c>
      <c r="H79">
        <v>1.8537559251214999E-2</v>
      </c>
      <c r="I79">
        <v>0.106272525886318</v>
      </c>
      <c r="J79">
        <v>0</v>
      </c>
      <c r="K79" s="13">
        <v>968.07579999999996</v>
      </c>
      <c r="L79">
        <f t="shared" si="2"/>
        <v>1599.7697058585834</v>
      </c>
      <c r="M79">
        <f t="shared" si="3"/>
        <v>748.73801598319301</v>
      </c>
      <c r="N79" s="2">
        <f t="shared" si="4"/>
        <v>0.75183635697622853</v>
      </c>
      <c r="O79">
        <f t="shared" si="5"/>
        <v>1.1624652728218445</v>
      </c>
      <c r="P79" s="4">
        <f t="shared" si="6"/>
        <v>0.18502768491749363</v>
      </c>
      <c r="Q79">
        <f t="shared" si="0"/>
        <v>0.85042308453790183</v>
      </c>
      <c r="R79">
        <f t="shared" si="30"/>
        <v>0.22676676287872091</v>
      </c>
      <c r="S79" s="3">
        <f t="shared" si="28"/>
        <v>0.47962082031599523</v>
      </c>
      <c r="T79" s="2">
        <f t="shared" si="9"/>
        <v>7.1154394277738786E-2</v>
      </c>
      <c r="U79" s="3">
        <f t="shared" si="10"/>
        <v>1.9075611505011778E-2</v>
      </c>
      <c r="V79">
        <v>1.6525252525252501</v>
      </c>
      <c r="W79" s="13">
        <f t="shared" si="26"/>
        <v>38.748790143862536</v>
      </c>
      <c r="X79" s="2">
        <f t="shared" si="11"/>
        <v>29.026145648476277</v>
      </c>
      <c r="Y79" s="3">
        <f t="shared" si="12"/>
        <v>72.90236468803127</v>
      </c>
      <c r="Z79" s="13">
        <f t="shared" si="13"/>
        <v>3.730123894536447</v>
      </c>
      <c r="AA79" s="2">
        <f t="shared" si="14"/>
        <v>0.26808761002944459</v>
      </c>
      <c r="AB79" s="3">
        <f t="shared" si="15"/>
        <v>0.26192852870698763</v>
      </c>
      <c r="AC79">
        <f t="shared" si="16"/>
        <v>2.4221480130520646E-2</v>
      </c>
      <c r="AD79" s="2">
        <f t="shared" si="17"/>
        <v>61989140.610822946</v>
      </c>
      <c r="AE79">
        <f t="shared" si="18"/>
        <v>46435148.486271299</v>
      </c>
      <c r="AF79" s="3">
        <f t="shared" si="19"/>
        <v>116626994.51336697</v>
      </c>
      <c r="AG79">
        <f t="shared" si="20"/>
        <v>-15553992.124551645</v>
      </c>
      <c r="AI79" s="2">
        <f t="shared" si="21"/>
        <v>-707.15145458507504</v>
      </c>
      <c r="AJ79" s="2">
        <f t="shared" si="22"/>
        <v>2484.0720988666808</v>
      </c>
      <c r="AK79">
        <f t="shared" si="23"/>
        <v>54637853.902544029</v>
      </c>
      <c r="AO79" s="2">
        <f t="shared" si="24"/>
        <v>428.80148952182128</v>
      </c>
      <c r="AP79" s="3">
        <f t="shared" si="25"/>
        <v>414.25042033502683</v>
      </c>
    </row>
    <row r="80" spans="1:42" ht="14.65" thickBot="1" x14ac:dyDescent="0.5">
      <c r="A80" s="2">
        <v>0.70099999999999996</v>
      </c>
      <c r="B80" s="4">
        <f t="shared" si="27"/>
        <v>40000</v>
      </c>
      <c r="C80">
        <v>1.6818181818181801</v>
      </c>
      <c r="D80" s="5">
        <f t="shared" si="1"/>
        <v>1</v>
      </c>
      <c r="F80" s="2">
        <v>389.97</v>
      </c>
      <c r="G80" s="3">
        <v>5.8511999999999995E-4</v>
      </c>
      <c r="H80">
        <v>1.8529114216537999E-2</v>
      </c>
      <c r="I80">
        <v>0.10850017345447099</v>
      </c>
      <c r="J80">
        <v>0</v>
      </c>
      <c r="K80" s="13">
        <v>968.07579999999996</v>
      </c>
      <c r="L80">
        <f t="shared" si="2"/>
        <v>1628.1274818181801</v>
      </c>
      <c r="M80">
        <f t="shared" si="3"/>
        <v>775.51778383341843</v>
      </c>
      <c r="N80" s="2">
        <f t="shared" si="4"/>
        <v>0.75183635697622853</v>
      </c>
      <c r="O80">
        <f t="shared" si="5"/>
        <v>1.1771520481747635</v>
      </c>
      <c r="P80" s="4">
        <f t="shared" si="6"/>
        <v>0.18502768491749363</v>
      </c>
      <c r="Q80">
        <f t="shared" si="0"/>
        <v>0.88862607467947241</v>
      </c>
      <c r="R80">
        <f t="shared" si="30"/>
        <v>0.21293082660414747</v>
      </c>
      <c r="S80" s="3">
        <f t="shared" si="28"/>
        <v>0.47917607189766809</v>
      </c>
      <c r="T80" s="2">
        <f t="shared" si="9"/>
        <v>6.8697328559835708E-2</v>
      </c>
      <c r="U80" s="3">
        <f t="shared" si="10"/>
        <v>1.9041161575337161E-2</v>
      </c>
      <c r="V80">
        <v>1.6818181818181801</v>
      </c>
      <c r="W80" s="13">
        <f t="shared" si="26"/>
        <v>40.062218324147452</v>
      </c>
      <c r="X80" s="2">
        <f t="shared" si="11"/>
        <v>27.255145805330876</v>
      </c>
      <c r="Y80" s="3">
        <f t="shared" si="12"/>
        <v>72.834762928445542</v>
      </c>
      <c r="Z80" s="13">
        <f t="shared" si="13"/>
        <v>3.6078328671300763</v>
      </c>
      <c r="AA80" s="2">
        <f t="shared" si="14"/>
        <v>0.27717470205194683</v>
      </c>
      <c r="AB80" s="3">
        <f t="shared" si="15"/>
        <v>0.27038688785209686</v>
      </c>
      <c r="AC80">
        <f t="shared" si="16"/>
        <v>2.4606315397003642E-2</v>
      </c>
      <c r="AD80" s="2">
        <f t="shared" si="17"/>
        <v>65226398.63614434</v>
      </c>
      <c r="AE80">
        <f t="shared" si="18"/>
        <v>44374851.906620696</v>
      </c>
      <c r="AF80" s="3">
        <f t="shared" si="19"/>
        <v>118584279.15551418</v>
      </c>
      <c r="AG80">
        <f t="shared" si="20"/>
        <v>-20851546.72952364</v>
      </c>
      <c r="AI80" s="2">
        <f t="shared" si="21"/>
        <v>-948.00109721389924</v>
      </c>
      <c r="AJ80" s="2">
        <f t="shared" si="22"/>
        <v>2425.8789975397831</v>
      </c>
      <c r="AK80">
        <f t="shared" si="23"/>
        <v>53357880.519369848</v>
      </c>
      <c r="AO80" s="2">
        <f t="shared" si="24"/>
        <v>451.19478372699893</v>
      </c>
      <c r="AP80" s="3">
        <f t="shared" si="25"/>
        <v>434.87983175390747</v>
      </c>
    </row>
    <row r="81" spans="1:42" ht="14.65" thickBot="1" x14ac:dyDescent="0.5">
      <c r="A81" s="2">
        <v>0.70099999999999996</v>
      </c>
      <c r="B81" s="4">
        <f t="shared" si="27"/>
        <v>40000</v>
      </c>
      <c r="C81">
        <v>1.7111111111111099</v>
      </c>
      <c r="D81" s="5">
        <f t="shared" si="1"/>
        <v>1</v>
      </c>
      <c r="F81" s="2">
        <v>389.97</v>
      </c>
      <c r="G81" s="3">
        <v>5.8511999999999995E-4</v>
      </c>
      <c r="H81">
        <v>1.8520996129668E-2</v>
      </c>
      <c r="I81">
        <v>0.11071573886406599</v>
      </c>
      <c r="J81">
        <v>0</v>
      </c>
      <c r="K81" s="13">
        <v>968.07579999999996</v>
      </c>
      <c r="L81">
        <f t="shared" si="2"/>
        <v>1656.4852577777765</v>
      </c>
      <c r="M81">
        <f t="shared" si="3"/>
        <v>802.76808380582281</v>
      </c>
      <c r="N81" s="2">
        <f t="shared" si="4"/>
        <v>0.75183635697622853</v>
      </c>
      <c r="O81">
        <f t="shared" si="5"/>
        <v>1.1920968765329742</v>
      </c>
      <c r="P81" s="4">
        <f t="shared" si="6"/>
        <v>0.18502768491749363</v>
      </c>
      <c r="Q81">
        <f t="shared" si="0"/>
        <v>0.92874290396992965</v>
      </c>
      <c r="R81">
        <f t="shared" si="30"/>
        <v>0.19756707972022719</v>
      </c>
      <c r="S81" s="3">
        <f t="shared" si="28"/>
        <v>0.47800368070330834</v>
      </c>
      <c r="T81" s="2">
        <f t="shared" si="9"/>
        <v>6.6365368871449351E-2</v>
      </c>
      <c r="U81" s="3">
        <f t="shared" si="10"/>
        <v>1.9008628343254334E-2</v>
      </c>
      <c r="V81">
        <v>1.7111111111111099</v>
      </c>
      <c r="W81" s="13">
        <f t="shared" si="26"/>
        <v>41.399078169368188</v>
      </c>
      <c r="X81" s="2">
        <f t="shared" si="11"/>
        <v>25.28858620418908</v>
      </c>
      <c r="Y81" s="3">
        <f t="shared" si="12"/>
        <v>72.656559466902863</v>
      </c>
      <c r="Z81" s="13">
        <f t="shared" si="13"/>
        <v>3.491328657335798</v>
      </c>
      <c r="AA81" s="2">
        <f t="shared" si="14"/>
        <v>0.28642390853088323</v>
      </c>
      <c r="AB81" s="3">
        <f t="shared" si="15"/>
        <v>0.27895560233366595</v>
      </c>
      <c r="AC81">
        <f t="shared" si="16"/>
        <v>2.4992119896621517E-2</v>
      </c>
      <c r="AD81" s="2">
        <f t="shared" si="17"/>
        <v>68576962.673148185</v>
      </c>
      <c r="AE81">
        <f t="shared" si="18"/>
        <v>41890170.237281673</v>
      </c>
      <c r="AF81" s="3">
        <f t="shared" si="19"/>
        <v>120354519.63777894</v>
      </c>
      <c r="AG81">
        <f t="shared" si="20"/>
        <v>-26686792.435866509</v>
      </c>
      <c r="AI81" s="2">
        <f t="shared" si="21"/>
        <v>-1213.2964925091196</v>
      </c>
      <c r="AJ81" s="2">
        <f t="shared" si="22"/>
        <v>2354.0306841614574</v>
      </c>
      <c r="AK81">
        <f t="shared" si="23"/>
        <v>51777556.96463076</v>
      </c>
      <c r="AO81" s="2">
        <f t="shared" si="24"/>
        <v>474.37185693124741</v>
      </c>
      <c r="AP81" s="3">
        <f t="shared" si="25"/>
        <v>456.11615428404758</v>
      </c>
    </row>
    <row r="82" spans="1:42" ht="14.65" thickBot="1" x14ac:dyDescent="0.5">
      <c r="A82" s="2">
        <v>0.70099999999999996</v>
      </c>
      <c r="B82" s="4">
        <f t="shared" si="27"/>
        <v>40000</v>
      </c>
      <c r="C82">
        <v>1.74040404040404</v>
      </c>
      <c r="D82" s="5">
        <f t="shared" si="1"/>
        <v>1</v>
      </c>
      <c r="F82" s="2">
        <v>389.97</v>
      </c>
      <c r="G82" s="3">
        <v>5.8511999999999995E-4</v>
      </c>
      <c r="H82">
        <v>1.8513169723629999E-2</v>
      </c>
      <c r="I82">
        <v>0.112919761895731</v>
      </c>
      <c r="J82">
        <v>0</v>
      </c>
      <c r="K82" s="13">
        <v>968.07579999999996</v>
      </c>
      <c r="L82">
        <f t="shared" si="2"/>
        <v>1684.8430337373732</v>
      </c>
      <c r="M82">
        <f t="shared" si="3"/>
        <v>830.48891590040637</v>
      </c>
      <c r="N82" s="2">
        <f t="shared" si="4"/>
        <v>0.75183635697622853</v>
      </c>
      <c r="O82">
        <f t="shared" si="5"/>
        <v>1.2072997578964775</v>
      </c>
      <c r="P82" s="4">
        <f t="shared" si="6"/>
        <v>0.18502768491749363</v>
      </c>
      <c r="Q82">
        <f t="shared" si="0"/>
        <v>0.97086306815059897</v>
      </c>
      <c r="R82">
        <f t="shared" si="30"/>
        <v>0.18056091037397196</v>
      </c>
      <c r="S82" s="3">
        <f t="shared" si="28"/>
        <v>0.4760374465241341</v>
      </c>
      <c r="T82" s="2">
        <f t="shared" si="9"/>
        <v>6.4150163813130226E-2</v>
      </c>
      <c r="U82" s="3">
        <f t="shared" si="10"/>
        <v>1.8977862041740984E-2</v>
      </c>
      <c r="V82">
        <v>1.74040404040404</v>
      </c>
      <c r="W82" s="13">
        <f t="shared" si="26"/>
        <v>42.759332750463933</v>
      </c>
      <c r="X82" s="2">
        <f t="shared" si="11"/>
        <v>23.11179652786841</v>
      </c>
      <c r="Y82" s="3">
        <f t="shared" si="12"/>
        <v>72.357691871668393</v>
      </c>
      <c r="Z82" s="13">
        <f t="shared" si="13"/>
        <v>3.3802629438466107</v>
      </c>
      <c r="AA82" s="2">
        <f t="shared" si="14"/>
        <v>0.29583497396863395</v>
      </c>
      <c r="AB82" s="3">
        <f t="shared" si="15"/>
        <v>0.28763130301431356</v>
      </c>
      <c r="AC82">
        <f t="shared" si="16"/>
        <v>2.5378822771171629E-2</v>
      </c>
      <c r="AD82" s="2">
        <f t="shared" si="17"/>
        <v>72042763.911877468</v>
      </c>
      <c r="AE82">
        <f t="shared" si="18"/>
        <v>38939749.377134703</v>
      </c>
      <c r="AF82" s="3">
        <f t="shared" si="19"/>
        <v>121911353.08729583</v>
      </c>
      <c r="AG82">
        <f t="shared" si="20"/>
        <v>-33103014.534742769</v>
      </c>
      <c r="AI82" s="2">
        <f t="shared" si="21"/>
        <v>-1505.0055761854135</v>
      </c>
      <c r="AJ82" s="2">
        <f t="shared" si="22"/>
        <v>2267.2407888029038</v>
      </c>
      <c r="AK82">
        <f t="shared" si="23"/>
        <v>49868589.175418362</v>
      </c>
      <c r="AO82" s="2">
        <f t="shared" si="24"/>
        <v>498.34606788028935</v>
      </c>
      <c r="AP82" s="3">
        <f t="shared" si="25"/>
        <v>477.95902762168373</v>
      </c>
    </row>
    <row r="83" spans="1:42" ht="14.65" thickBot="1" x14ac:dyDescent="0.5">
      <c r="A83" s="2">
        <v>0.70099999999999996</v>
      </c>
      <c r="B83" s="4">
        <f t="shared" si="27"/>
        <v>40000</v>
      </c>
      <c r="C83">
        <v>1.76969696969697</v>
      </c>
      <c r="D83" s="5">
        <f t="shared" si="1"/>
        <v>1</v>
      </c>
      <c r="F83" s="2">
        <v>389.97</v>
      </c>
      <c r="G83" s="3">
        <v>5.8511999999999995E-4</v>
      </c>
      <c r="H83">
        <v>1.8505605649679999E-2</v>
      </c>
      <c r="I83">
        <v>0.115112775441816</v>
      </c>
      <c r="J83">
        <v>0</v>
      </c>
      <c r="K83" s="13">
        <v>968.07579999999996</v>
      </c>
      <c r="L83">
        <f t="shared" si="2"/>
        <v>1713.2008096969698</v>
      </c>
      <c r="M83">
        <f t="shared" si="3"/>
        <v>858.68028011716899</v>
      </c>
      <c r="N83" s="2">
        <f t="shared" si="4"/>
        <v>0.75183635697622853</v>
      </c>
      <c r="O83">
        <f t="shared" si="5"/>
        <v>1.222760692265273</v>
      </c>
      <c r="P83" s="4">
        <f t="shared" si="6"/>
        <v>0.18502768491749363</v>
      </c>
      <c r="Q83">
        <f t="shared" si="0"/>
        <v>1.0150798932442933</v>
      </c>
      <c r="R83">
        <f t="shared" si="30"/>
        <v>0.16179102825922928</v>
      </c>
      <c r="S83" s="3">
        <f t="shared" si="28"/>
        <v>0.47320727681296043</v>
      </c>
      <c r="T83" s="2">
        <f t="shared" si="9"/>
        <v>6.2044047398794759E-2</v>
      </c>
      <c r="U83" s="3">
        <f t="shared" si="10"/>
        <v>1.8948728113689535E-2</v>
      </c>
      <c r="V83">
        <v>1.76969696969697</v>
      </c>
      <c r="W83" s="13">
        <f t="shared" si="26"/>
        <v>44.142949433361764</v>
      </c>
      <c r="X83" s="2">
        <f t="shared" si="11"/>
        <v>20.709251617181348</v>
      </c>
      <c r="Y83" s="3">
        <f t="shared" si="12"/>
        <v>71.92750607556998</v>
      </c>
      <c r="Z83" s="13">
        <f t="shared" si="13"/>
        <v>3.2743119763257855</v>
      </c>
      <c r="AA83" s="2">
        <f t="shared" si="14"/>
        <v>0.30540767258290802</v>
      </c>
      <c r="AB83" s="3">
        <f t="shared" si="15"/>
        <v>0.29641054848221526</v>
      </c>
      <c r="AC83">
        <f t="shared" si="16"/>
        <v>2.5766360360972365E-2</v>
      </c>
      <c r="AD83" s="2">
        <f t="shared" si="17"/>
        <v>75625736.711647764</v>
      </c>
      <c r="AE83">
        <f t="shared" si="18"/>
        <v>35479106.638773367</v>
      </c>
      <c r="AF83" s="3">
        <f t="shared" si="19"/>
        <v>123226261.64815021</v>
      </c>
      <c r="AG83">
        <f t="shared" si="20"/>
        <v>-40146630.072874397</v>
      </c>
      <c r="AI83" s="2">
        <f t="shared" si="21"/>
        <v>-1825.2386670499491</v>
      </c>
      <c r="AJ83" s="2">
        <f t="shared" si="22"/>
        <v>2164.1248226381713</v>
      </c>
      <c r="AK83">
        <f t="shared" si="23"/>
        <v>47600524.936502442</v>
      </c>
      <c r="AO83" s="2">
        <f t="shared" si="24"/>
        <v>523.13079724286138</v>
      </c>
      <c r="AP83" s="3">
        <f t="shared" si="25"/>
        <v>500.40741325683217</v>
      </c>
    </row>
    <row r="84" spans="1:42" ht="14.65" thickBot="1" x14ac:dyDescent="0.5">
      <c r="A84" s="2">
        <v>0.70099999999999996</v>
      </c>
      <c r="B84" s="4">
        <f t="shared" si="27"/>
        <v>40000</v>
      </c>
      <c r="C84">
        <v>1.79898989898989</v>
      </c>
      <c r="D84" s="5">
        <f t="shared" si="1"/>
        <v>1</v>
      </c>
      <c r="F84" s="2">
        <v>389.97</v>
      </c>
      <c r="G84" s="3">
        <v>5.8511999999999995E-4</v>
      </c>
      <c r="H84">
        <v>1.8498279173709001E-2</v>
      </c>
      <c r="I84">
        <v>0.11729529827191</v>
      </c>
      <c r="J84">
        <v>0</v>
      </c>
      <c r="K84" s="13">
        <v>968.07579999999996</v>
      </c>
      <c r="L84">
        <f t="shared" si="2"/>
        <v>1741.5585856565569</v>
      </c>
      <c r="M84">
        <f t="shared" si="3"/>
        <v>887.3421764561009</v>
      </c>
      <c r="N84" s="2">
        <f t="shared" si="4"/>
        <v>0.75183635697622853</v>
      </c>
      <c r="O84">
        <f t="shared" si="5"/>
        <v>1.2384796796393549</v>
      </c>
      <c r="P84" s="4">
        <f t="shared" si="6"/>
        <v>0.18502768491749363</v>
      </c>
      <c r="Q84">
        <f t="shared" si="0"/>
        <v>1.0614906714431172</v>
      </c>
      <c r="R84">
        <f t="shared" si="30"/>
        <v>0.14112914514213265</v>
      </c>
      <c r="S84" s="3">
        <f t="shared" si="28"/>
        <v>0.4694390118765509</v>
      </c>
      <c r="T84" s="2">
        <f t="shared" si="9"/>
        <v>6.0039972643671238E-2</v>
      </c>
      <c r="U84" s="3">
        <f t="shared" si="10"/>
        <v>1.8921105067283197E-2</v>
      </c>
      <c r="V84">
        <v>1.79898989898989</v>
      </c>
      <c r="W84" s="13">
        <f t="shared" si="26"/>
        <v>45.549898717833251</v>
      </c>
      <c r="X84" s="2">
        <f t="shared" si="11"/>
        <v>18.064530578192979</v>
      </c>
      <c r="Y84" s="3">
        <f t="shared" si="12"/>
        <v>71.354729805235735</v>
      </c>
      <c r="Z84" s="13">
        <f t="shared" si="13"/>
        <v>3.1731747395392551</v>
      </c>
      <c r="AA84" s="2">
        <f t="shared" si="14"/>
        <v>0.31514180027324934</v>
      </c>
      <c r="AB84" s="3">
        <f t="shared" si="15"/>
        <v>0.3052898195992646</v>
      </c>
      <c r="AC84">
        <f t="shared" si="16"/>
        <v>2.6154674952069568E-2</v>
      </c>
      <c r="AD84" s="2">
        <f t="shared" si="17"/>
        <v>79327817.187829092</v>
      </c>
      <c r="AE84">
        <f t="shared" si="18"/>
        <v>31460438.32430739</v>
      </c>
      <c r="AF84" s="3">
        <f t="shared" si="19"/>
        <v>124268442.31951211</v>
      </c>
      <c r="AG84">
        <f t="shared" si="20"/>
        <v>-47867378.86352171</v>
      </c>
      <c r="AI84" s="2">
        <f t="shared" si="21"/>
        <v>-2176.2571511839433</v>
      </c>
      <c r="AJ84" s="2">
        <f t="shared" si="22"/>
        <v>2043.1943244762513</v>
      </c>
      <c r="AK84">
        <f t="shared" si="23"/>
        <v>44940625.131683022</v>
      </c>
      <c r="AO84" s="2">
        <f t="shared" si="24"/>
        <v>548.73943783496941</v>
      </c>
      <c r="AP84" s="3">
        <f t="shared" si="25"/>
        <v>523.45957815237955</v>
      </c>
    </row>
    <row r="85" spans="1:42" ht="14.65" thickBot="1" x14ac:dyDescent="0.5">
      <c r="A85" s="2">
        <v>0.70099999999999996</v>
      </c>
      <c r="B85" s="4">
        <f t="shared" si="27"/>
        <v>40000</v>
      </c>
      <c r="C85">
        <v>1.8282828282828201</v>
      </c>
      <c r="D85" s="5">
        <f t="shared" si="1"/>
        <v>1</v>
      </c>
      <c r="F85" s="2">
        <v>389.97</v>
      </c>
      <c r="G85" s="3">
        <v>5.8511999999999995E-4</v>
      </c>
      <c r="H85">
        <v>1.8491169220121999E-2</v>
      </c>
      <c r="I85">
        <v>0.119467830554199</v>
      </c>
      <c r="J85">
        <v>0</v>
      </c>
      <c r="K85" s="13">
        <v>968.07579999999996</v>
      </c>
      <c r="L85">
        <f t="shared" si="2"/>
        <v>1769.9163616161536</v>
      </c>
      <c r="M85">
        <f t="shared" si="3"/>
        <v>916.47460491722165</v>
      </c>
      <c r="N85" s="2">
        <f t="shared" si="4"/>
        <v>0.75183635697622853</v>
      </c>
      <c r="O85">
        <f t="shared" si="5"/>
        <v>1.2544567200187344</v>
      </c>
      <c r="P85" s="4">
        <f t="shared" si="6"/>
        <v>0.18502768491749363</v>
      </c>
      <c r="Q85">
        <f t="shared" si="0"/>
        <v>1.1101968007297707</v>
      </c>
      <c r="R85">
        <f t="shared" si="30"/>
        <v>0.11843964365111623</v>
      </c>
      <c r="S85" s="3">
        <f t="shared" si="28"/>
        <v>0.46465424460519494</v>
      </c>
      <c r="T85" s="2">
        <f t="shared" si="9"/>
        <v>5.8131452540151972E-2</v>
      </c>
      <c r="U85" s="3">
        <f t="shared" si="10"/>
        <v>1.8894882771058961E-2</v>
      </c>
      <c r="V85">
        <v>1.8282828282828201</v>
      </c>
      <c r="W85" s="13">
        <f t="shared" si="26"/>
        <v>46.980153443814721</v>
      </c>
      <c r="X85" s="2">
        <f t="shared" si="11"/>
        <v>15.160274387342877</v>
      </c>
      <c r="Y85" s="3">
        <f t="shared" si="12"/>
        <v>70.627445179989635</v>
      </c>
      <c r="Z85" s="13">
        <f t="shared" si="13"/>
        <v>3.0765712200761119</v>
      </c>
      <c r="AA85" s="2">
        <f t="shared" si="14"/>
        <v>0.32503716912987984</v>
      </c>
      <c r="AB85" s="3">
        <f t="shared" si="15"/>
        <v>0.31426551692380778</v>
      </c>
      <c r="AC85">
        <f t="shared" si="16"/>
        <v>2.6543713851492963E-2</v>
      </c>
      <c r="AD85" s="2">
        <f t="shared" si="17"/>
        <v>83150942.251445159</v>
      </c>
      <c r="AE85">
        <f t="shared" si="18"/>
        <v>26832417.684748467</v>
      </c>
      <c r="AF85" s="3">
        <f t="shared" si="19"/>
        <v>125004670.8032116</v>
      </c>
      <c r="AG85">
        <f t="shared" si="20"/>
        <v>-56318524.566696696</v>
      </c>
      <c r="AI85" s="2">
        <f t="shared" si="21"/>
        <v>-2560.4826239149752</v>
      </c>
      <c r="AJ85" s="2">
        <f t="shared" si="22"/>
        <v>1902.8507143495599</v>
      </c>
      <c r="AK85">
        <f t="shared" si="23"/>
        <v>41853728.55176644</v>
      </c>
      <c r="AO85" s="2">
        <f t="shared" si="24"/>
        <v>575.18538797644544</v>
      </c>
      <c r="AP85" s="3">
        <f t="shared" si="25"/>
        <v>547.11308352256992</v>
      </c>
    </row>
    <row r="86" spans="1:42" ht="14.65" thickBot="1" x14ac:dyDescent="0.5">
      <c r="A86" s="2">
        <v>0.70099999999999996</v>
      </c>
      <c r="B86" s="4">
        <f t="shared" si="27"/>
        <v>40000</v>
      </c>
      <c r="C86">
        <v>1.8575757575757501</v>
      </c>
      <c r="D86" s="5">
        <f t="shared" si="1"/>
        <v>1</v>
      </c>
      <c r="F86" s="2">
        <v>389.97</v>
      </c>
      <c r="G86" s="3">
        <v>5.8511999999999995E-4</v>
      </c>
      <c r="H86">
        <v>1.8484257656278001E-2</v>
      </c>
      <c r="I86">
        <v>0.121630851259595</v>
      </c>
      <c r="J86">
        <v>0</v>
      </c>
      <c r="K86" s="13">
        <v>968.07579999999996</v>
      </c>
      <c r="L86">
        <f t="shared" si="2"/>
        <v>1798.2741375757503</v>
      </c>
      <c r="M86">
        <f t="shared" si="3"/>
        <v>946.07756550052136</v>
      </c>
      <c r="N86" s="2">
        <f t="shared" si="4"/>
        <v>0.75183635697622853</v>
      </c>
      <c r="O86">
        <f t="shared" si="5"/>
        <v>1.2706918134034058</v>
      </c>
      <c r="P86" s="4">
        <f t="shared" si="6"/>
        <v>0.18502768491749363</v>
      </c>
      <c r="Q86">
        <f t="shared" si="0"/>
        <v>1.1613039282903233</v>
      </c>
      <c r="R86">
        <f t="shared" si="30"/>
        <v>9.3579234024802824E-2</v>
      </c>
      <c r="S86" s="3">
        <f t="shared" si="28"/>
        <v>0.45877013463886285</v>
      </c>
      <c r="T86" s="2">
        <f t="shared" si="9"/>
        <v>5.6312507497008855E-2</v>
      </c>
      <c r="U86" s="3">
        <f t="shared" si="10"/>
        <v>1.8869961066334089E-2</v>
      </c>
      <c r="V86">
        <v>1.8575757575757501</v>
      </c>
      <c r="W86" s="13">
        <f t="shared" si="26"/>
        <v>48.433688240910286</v>
      </c>
      <c r="X86" s="2">
        <f t="shared" si="11"/>
        <v>11.978141955174761</v>
      </c>
      <c r="Y86" s="3">
        <f t="shared" si="12"/>
        <v>69.733060465107144</v>
      </c>
      <c r="Z86" s="13">
        <f t="shared" si="13"/>
        <v>2.9842407887886977</v>
      </c>
      <c r="AA86" s="2">
        <f t="shared" si="14"/>
        <v>0.33509360362502777</v>
      </c>
      <c r="AB86" s="3">
        <f t="shared" si="15"/>
        <v>0.32333396016853388</v>
      </c>
      <c r="AC86">
        <f t="shared" si="16"/>
        <v>2.6933428685241307E-2</v>
      </c>
      <c r="AD86" s="2">
        <f t="shared" si="17"/>
        <v>87097048.951035693</v>
      </c>
      <c r="AE86">
        <f t="shared" si="18"/>
        <v>21539982.894201808</v>
      </c>
      <c r="AF86" s="3">
        <f t="shared" si="19"/>
        <v>125399159.1684082</v>
      </c>
      <c r="AG86">
        <f t="shared" si="20"/>
        <v>-65557066.056833893</v>
      </c>
      <c r="AI86" s="2">
        <f t="shared" si="21"/>
        <v>-2980.5064995014109</v>
      </c>
      <c r="AJ86" s="2">
        <f t="shared" si="22"/>
        <v>1741.3788522587149</v>
      </c>
      <c r="AK86">
        <f t="shared" si="23"/>
        <v>38302110.217372507</v>
      </c>
      <c r="AO86" s="2">
        <f t="shared" si="24"/>
        <v>602.48204693837067</v>
      </c>
      <c r="AP86" s="3">
        <f t="shared" si="25"/>
        <v>571.36477780520454</v>
      </c>
    </row>
    <row r="87" spans="1:42" ht="14.65" thickBot="1" x14ac:dyDescent="0.5">
      <c r="A87" s="2">
        <v>0.70099999999999996</v>
      </c>
      <c r="B87" s="4">
        <f t="shared" si="27"/>
        <v>40000</v>
      </c>
      <c r="C87">
        <v>1.8868686868686799</v>
      </c>
      <c r="D87" s="5">
        <f t="shared" si="1"/>
        <v>1</v>
      </c>
      <c r="F87" s="2">
        <v>389.97</v>
      </c>
      <c r="G87" s="3">
        <v>5.8511999999999995E-4</v>
      </c>
      <c r="H87">
        <v>1.8477528747407001E-2</v>
      </c>
      <c r="I87">
        <v>0.123784816850587</v>
      </c>
      <c r="J87">
        <v>0</v>
      </c>
      <c r="K87" s="13">
        <v>968.07579999999996</v>
      </c>
      <c r="L87">
        <f t="shared" si="2"/>
        <v>1826.6319135353467</v>
      </c>
      <c r="M87">
        <f t="shared" si="3"/>
        <v>976.1510582059999</v>
      </c>
      <c r="N87" s="2">
        <f t="shared" si="4"/>
        <v>0.75183635697622853</v>
      </c>
      <c r="O87">
        <f t="shared" si="5"/>
        <v>1.2871849597933693</v>
      </c>
      <c r="P87" s="4">
        <f t="shared" si="6"/>
        <v>0.18502768491749363</v>
      </c>
      <c r="Q87">
        <f t="shared" si="0"/>
        <v>1.214922097777198</v>
      </c>
      <c r="R87">
        <f t="shared" si="30"/>
        <v>6.6396598506632432E-2</v>
      </c>
      <c r="S87" s="3">
        <f t="shared" si="28"/>
        <v>0.45169921686905068</v>
      </c>
      <c r="T87" s="2">
        <f t="shared" si="9"/>
        <v>5.4577618445563386E-2</v>
      </c>
      <c r="U87" s="3">
        <f t="shared" si="10"/>
        <v>1.8846248615786768E-2</v>
      </c>
      <c r="V87">
        <v>1.8868686868686799</v>
      </c>
      <c r="W87" s="13">
        <f t="shared" si="26"/>
        <v>49.910479141570441</v>
      </c>
      <c r="X87" s="2">
        <f t="shared" si="11"/>
        <v>8.4987646088489512</v>
      </c>
      <c r="Y87" s="3">
        <f t="shared" si="12"/>
        <v>68.658280964095695</v>
      </c>
      <c r="Z87" s="13">
        <f t="shared" si="13"/>
        <v>2.8959407019519969</v>
      </c>
      <c r="AA87" s="2">
        <f t="shared" si="14"/>
        <v>0.34531093793666223</v>
      </c>
      <c r="AB87" s="3">
        <f t="shared" si="15"/>
        <v>0.33249138915408405</v>
      </c>
      <c r="AC87">
        <f t="shared" si="16"/>
        <v>2.732377485126241E-2</v>
      </c>
      <c r="AD87" s="2">
        <f t="shared" si="17"/>
        <v>91168074.019832835</v>
      </c>
      <c r="AE87">
        <f t="shared" si="18"/>
        <v>15524114.660148241</v>
      </c>
      <c r="AF87" s="3">
        <f t="shared" si="19"/>
        <v>125413407.1374936</v>
      </c>
      <c r="AG87">
        <f t="shared" si="20"/>
        <v>-75643959.359684587</v>
      </c>
      <c r="AI87" s="2">
        <f t="shared" si="21"/>
        <v>-3439.100101339237</v>
      </c>
      <c r="AJ87" s="2">
        <f t="shared" si="22"/>
        <v>1556.940297576647</v>
      </c>
      <c r="AK87">
        <f t="shared" si="23"/>
        <v>34245333.117660776</v>
      </c>
      <c r="AO87" s="2">
        <f t="shared" si="24"/>
        <v>630.64281181072806</v>
      </c>
      <c r="AP87" s="3">
        <f t="shared" si="25"/>
        <v>596.21079326782467</v>
      </c>
    </row>
    <row r="88" spans="1:42" ht="14.65" thickBot="1" x14ac:dyDescent="0.5">
      <c r="A88" s="2">
        <v>0.70099999999999996</v>
      </c>
      <c r="B88" s="4">
        <f t="shared" si="27"/>
        <v>40000</v>
      </c>
      <c r="C88">
        <v>1.91616161616161</v>
      </c>
      <c r="D88" s="5">
        <f t="shared" si="1"/>
        <v>1</v>
      </c>
      <c r="F88" s="2">
        <v>389.97</v>
      </c>
      <c r="G88" s="3">
        <v>5.8511999999999995E-4</v>
      </c>
      <c r="H88">
        <v>1.8470968734846001E-2</v>
      </c>
      <c r="I88">
        <v>0.125930160842152</v>
      </c>
      <c r="J88">
        <v>0</v>
      </c>
      <c r="K88" s="13">
        <v>968.07579999999996</v>
      </c>
      <c r="L88">
        <f t="shared" si="2"/>
        <v>1854.9896894949434</v>
      </c>
      <c r="M88">
        <f t="shared" si="3"/>
        <v>1006.6950830336577</v>
      </c>
      <c r="N88" s="2">
        <f t="shared" si="4"/>
        <v>0.75183635697622853</v>
      </c>
      <c r="O88">
        <f t="shared" si="5"/>
        <v>1.3039361591886254</v>
      </c>
      <c r="P88" s="4">
        <f t="shared" si="6"/>
        <v>0.18502768491749363</v>
      </c>
      <c r="Q88">
        <f t="shared" si="0"/>
        <v>1.2711659004807152</v>
      </c>
      <c r="R88">
        <f t="shared" si="30"/>
        <v>3.6732023071160171E-2</v>
      </c>
      <c r="S88" s="3">
        <f t="shared" si="28"/>
        <v>0.44334920417531548</v>
      </c>
      <c r="T88" s="2">
        <f t="shared" si="9"/>
        <v>5.2921684925145075E-2</v>
      </c>
      <c r="U88" s="3">
        <f t="shared" si="10"/>
        <v>1.8823661932635762E-2</v>
      </c>
      <c r="V88">
        <v>1.91616161616161</v>
      </c>
      <c r="W88" s="13">
        <f t="shared" si="26"/>
        <v>51.410503305994645</v>
      </c>
      <c r="X88" s="2">
        <f t="shared" si="11"/>
        <v>4.7016989531085018</v>
      </c>
      <c r="Y88" s="3">
        <f t="shared" si="12"/>
        <v>67.389079034647949</v>
      </c>
      <c r="Z88" s="13">
        <f t="shared" si="13"/>
        <v>2.8114447185959834</v>
      </c>
      <c r="AA88" s="2">
        <f t="shared" si="14"/>
        <v>0.35568901404520353</v>
      </c>
      <c r="AB88" s="3">
        <f t="shared" si="15"/>
        <v>0.34173396590250782</v>
      </c>
      <c r="AC88">
        <f t="shared" si="16"/>
        <v>2.7714711082837417E-2</v>
      </c>
      <c r="AD88" s="2">
        <f t="shared" si="17"/>
        <v>95365953.564365774</v>
      </c>
      <c r="AE88">
        <f t="shared" si="18"/>
        <v>8721603.0811254401</v>
      </c>
      <c r="AF88" s="3">
        <f t="shared" si="19"/>
        <v>125006046.79383181</v>
      </c>
      <c r="AG88">
        <f t="shared" si="20"/>
        <v>-86644350.483240336</v>
      </c>
      <c r="AI88" s="2">
        <f t="shared" si="21"/>
        <v>-3939.2252474583679</v>
      </c>
      <c r="AJ88" s="2">
        <f t="shared" si="22"/>
        <v>1347.5662629511796</v>
      </c>
      <c r="AK88">
        <f t="shared" si="23"/>
        <v>29640093.229466032</v>
      </c>
      <c r="AO88" s="2">
        <f t="shared" si="24"/>
        <v>659.68107534836827</v>
      </c>
      <c r="AP88" s="3">
        <f t="shared" si="25"/>
        <v>621.64654589561474</v>
      </c>
    </row>
    <row r="89" spans="1:42" ht="14.65" thickBot="1" x14ac:dyDescent="0.5">
      <c r="A89" s="2">
        <v>0.70099999999999996</v>
      </c>
      <c r="B89" s="4">
        <f t="shared" si="27"/>
        <v>40000</v>
      </c>
      <c r="C89">
        <v>1.94545454545454</v>
      </c>
      <c r="D89" s="5">
        <f t="shared" si="1"/>
        <v>1</v>
      </c>
      <c r="F89" s="2">
        <v>389.97</v>
      </c>
      <c r="G89" s="3">
        <v>5.8511999999999995E-4</v>
      </c>
      <c r="H89">
        <v>1.8464565505116E-2</v>
      </c>
      <c r="I89">
        <v>0.12806729394827099</v>
      </c>
      <c r="J89">
        <v>0</v>
      </c>
      <c r="K89" s="13">
        <v>968.07579999999996</v>
      </c>
      <c r="L89">
        <f t="shared" si="2"/>
        <v>1883.34746545454</v>
      </c>
      <c r="M89">
        <f t="shared" si="3"/>
        <v>1037.7096399834948</v>
      </c>
      <c r="N89" s="2">
        <f t="shared" si="4"/>
        <v>0.75183635697622853</v>
      </c>
      <c r="O89">
        <f t="shared" si="5"/>
        <v>1.3209454115891734</v>
      </c>
      <c r="P89" s="4">
        <f t="shared" si="6"/>
        <v>0.18502768491749363</v>
      </c>
      <c r="Q89">
        <f t="shared" si="0"/>
        <v>1.3301546304680683</v>
      </c>
      <c r="R89">
        <f t="shared" si="30"/>
        <v>4.4170161626041786E-3</v>
      </c>
      <c r="S89" s="3">
        <f t="shared" si="28"/>
        <v>0.43362278429528078</v>
      </c>
      <c r="T89" s="2">
        <f t="shared" si="9"/>
        <v>5.1339987552633103E-2</v>
      </c>
      <c r="U89" s="3">
        <f t="shared" si="10"/>
        <v>1.8802124551326529E-2</v>
      </c>
      <c r="V89">
        <v>1.94545454545454</v>
      </c>
      <c r="W89" s="13">
        <f t="shared" si="26"/>
        <v>52.933738824209151</v>
      </c>
      <c r="X89" s="2">
        <f t="shared" si="11"/>
        <v>0.56537806881333486</v>
      </c>
      <c r="Y89" s="3">
        <f t="shared" si="12"/>
        <v>65.910663212882682</v>
      </c>
      <c r="Z89" s="13">
        <f t="shared" si="13"/>
        <v>2.7305418285302743</v>
      </c>
      <c r="AA89" s="2">
        <f t="shared" si="14"/>
        <v>0.36622768036417674</v>
      </c>
      <c r="AB89" s="3">
        <f t="shared" si="15"/>
        <v>0.35105777762957718</v>
      </c>
      <c r="AC89">
        <f t="shared" si="16"/>
        <v>2.8106199092387745E-2</v>
      </c>
      <c r="AD89" s="2">
        <f t="shared" si="17"/>
        <v>99692622.851606891</v>
      </c>
      <c r="AE89">
        <f t="shared" si="18"/>
        <v>1064803.3529231767</v>
      </c>
      <c r="AF89" s="3">
        <f t="shared" si="19"/>
        <v>124132680.50841038</v>
      </c>
      <c r="AG89">
        <f t="shared" si="20"/>
        <v>-98627819.498683706</v>
      </c>
      <c r="AI89" s="2">
        <f t="shared" si="21"/>
        <v>-4484.045347493633</v>
      </c>
      <c r="AJ89" s="2">
        <f t="shared" si="22"/>
        <v>1111.1502554299952</v>
      </c>
      <c r="AK89">
        <f t="shared" si="23"/>
        <v>24440057.656803496</v>
      </c>
      <c r="AO89" s="2">
        <f t="shared" si="24"/>
        <v>689.61022449862094</v>
      </c>
      <c r="AP89" s="3">
        <f t="shared" si="25"/>
        <v>647.66673833435436</v>
      </c>
    </row>
    <row r="90" spans="1:42" ht="14.65" thickBot="1" x14ac:dyDescent="0.5">
      <c r="A90" s="2">
        <v>0.70099999999999996</v>
      </c>
      <c r="B90" s="4">
        <f t="shared" si="27"/>
        <v>40000</v>
      </c>
      <c r="C90">
        <v>1.97474747474747</v>
      </c>
      <c r="D90" s="5">
        <f t="shared" si="1"/>
        <v>1</v>
      </c>
      <c r="F90" s="2">
        <v>389.97</v>
      </c>
      <c r="G90" s="3">
        <v>5.8511999999999995E-4</v>
      </c>
      <c r="H90">
        <v>1.8458308327015002E-2</v>
      </c>
      <c r="I90">
        <v>0.130196604614505</v>
      </c>
      <c r="J90">
        <v>0</v>
      </c>
      <c r="K90" s="13">
        <v>968.07579999999996</v>
      </c>
      <c r="L90">
        <f t="shared" si="2"/>
        <v>1911.7052414141367</v>
      </c>
      <c r="M90">
        <f t="shared" si="3"/>
        <v>1069.1947290555106</v>
      </c>
      <c r="N90" s="2">
        <f t="shared" si="4"/>
        <v>0.75183635697622853</v>
      </c>
      <c r="O90">
        <f t="shared" si="5"/>
        <v>1.3382127169950135</v>
      </c>
      <c r="P90" s="4">
        <f t="shared" si="6"/>
        <v>0.18502768491749363</v>
      </c>
      <c r="Q90">
        <f t="shared" ref="Q90:Q125" si="31">P90*(1 + (1.4 - 1)/2 *C90^2)^(1.4/0.4)</f>
        <v>1.392012443748665</v>
      </c>
      <c r="R90">
        <f t="shared" si="30"/>
        <v>-3.0726085877934236E-2</v>
      </c>
      <c r="S90" s="3">
        <f t="shared" si="28"/>
        <v>0.42241741072673911</v>
      </c>
      <c r="T90" s="2">
        <f t="shared" si="9"/>
        <v>4.9828154359741521E-2</v>
      </c>
      <c r="U90" s="3">
        <f t="shared" si="10"/>
        <v>1.8781566311489365E-2</v>
      </c>
      <c r="V90">
        <v>1.97474747474747</v>
      </c>
      <c r="W90" s="13">
        <f t="shared" si="26"/>
        <v>54.480164572005101</v>
      </c>
      <c r="X90" s="2">
        <f t="shared" si="11"/>
        <v>-3.9329389923755822</v>
      </c>
      <c r="Y90" s="3">
        <f t="shared" si="12"/>
        <v>64.207446430464344</v>
      </c>
      <c r="Z90" s="13">
        <f t="shared" si="13"/>
        <v>2.6530350841537551</v>
      </c>
      <c r="AA90" s="2">
        <f t="shared" si="14"/>
        <v>0.37692679074350516</v>
      </c>
      <c r="AB90" s="3">
        <f t="shared" si="15"/>
        <v>0.3604588404681302</v>
      </c>
      <c r="AC90">
        <f t="shared" si="16"/>
        <v>2.8498203275158018E-2</v>
      </c>
      <c r="AD90" s="2">
        <f t="shared" si="17"/>
        <v>104150016.16540691</v>
      </c>
      <c r="AE90">
        <f t="shared" si="18"/>
        <v>-7518620.0858864337</v>
      </c>
      <c r="AF90" s="3">
        <f t="shared" si="19"/>
        <v>122745711.87893608</v>
      </c>
      <c r="AG90">
        <f t="shared" si="20"/>
        <v>-111668636.25129335</v>
      </c>
      <c r="AI90" s="2">
        <f t="shared" si="21"/>
        <v>-5076.9370284035685</v>
      </c>
      <c r="AJ90" s="2">
        <f t="shared" si="22"/>
        <v>845.44039675104659</v>
      </c>
      <c r="AK90">
        <f t="shared" si="23"/>
        <v>18595695.71352917</v>
      </c>
      <c r="AO90" s="2">
        <f t="shared" si="24"/>
        <v>720.44363940820517</v>
      </c>
      <c r="AP90" s="3">
        <f t="shared" si="25"/>
        <v>674.26536573702731</v>
      </c>
    </row>
    <row r="91" spans="1:42" ht="14.65" thickBot="1" x14ac:dyDescent="0.5">
      <c r="A91" s="2">
        <v>0.70099999999999996</v>
      </c>
      <c r="B91" s="4">
        <f t="shared" si="27"/>
        <v>40000</v>
      </c>
      <c r="C91">
        <v>2.0040404040404001</v>
      </c>
      <c r="D91" s="5">
        <f t="shared" ref="D91:D125" si="32">D90</f>
        <v>1</v>
      </c>
      <c r="F91" s="2">
        <v>389.97</v>
      </c>
      <c r="G91" s="3">
        <v>5.8511999999999995E-4</v>
      </c>
      <c r="H91">
        <v>1.8452187640381E-2</v>
      </c>
      <c r="I91">
        <v>0.132318459797232</v>
      </c>
      <c r="J91">
        <v>0</v>
      </c>
      <c r="K91" s="13">
        <v>968.07579999999996</v>
      </c>
      <c r="L91">
        <f t="shared" ref="L91:L125" si="33">C91*K91</f>
        <v>1940.0630173737334</v>
      </c>
      <c r="M91">
        <f t="shared" ref="M91:M125" si="34">0.5*G91*L91^2</f>
        <v>1101.1503502497058</v>
      </c>
      <c r="N91" s="2">
        <f t="shared" ref="N91:N125" si="35">F91/518.69</f>
        <v>0.75183635697622853</v>
      </c>
      <c r="O91">
        <f t="shared" ref="O91:O125" si="36">N91 * (1 + (1.4 - 1)/2 * C91^2)</f>
        <v>1.3557380754061457</v>
      </c>
      <c r="P91" s="4">
        <f t="shared" ref="P91:P125" si="37">G91*1716*F91/2116.2</f>
        <v>0.18502768491749363</v>
      </c>
      <c r="Q91">
        <f t="shared" si="31"/>
        <v>1.4568685215249222</v>
      </c>
      <c r="R91">
        <f t="shared" si="30"/>
        <v>-6.8884527024364192E-2</v>
      </c>
      <c r="S91" s="3">
        <f t="shared" si="28"/>
        <v>0.4096250875602947</v>
      </c>
      <c r="T91" s="2">
        <f t="shared" ref="T91:T125" si="38">A91 *1/M91 * 76</f>
        <v>4.8382130549128648E-2</v>
      </c>
      <c r="U91" s="3">
        <f t="shared" ref="U91:U125" si="39">H91+I91*T91^2 + J91 * T91</f>
        <v>1.8761922734259796E-2</v>
      </c>
      <c r="V91">
        <v>2.0040404040404001</v>
      </c>
      <c r="W91" s="13">
        <f t="shared" si="26"/>
        <v>56.04976010478029</v>
      </c>
      <c r="X91" s="2">
        <f t="shared" ref="X91:X125" si="40">(32000 * 4)*R91/1000</f>
        <v>-8.8172194591186166</v>
      </c>
      <c r="Y91" s="3">
        <f t="shared" ref="Y91:Y125" si="41">(38000 * 4)*S91/1000</f>
        <v>62.263013309164798</v>
      </c>
      <c r="Z91" s="13">
        <f t="shared" ref="Z91:Z125" si="42">T91/U91</f>
        <v>2.5787405285910023</v>
      </c>
      <c r="AA91" s="2">
        <f t="shared" ref="AA91:AA125" si="43">1/Z91</f>
        <v>0.38778620373504186</v>
      </c>
      <c r="AB91" s="3">
        <f t="shared" ref="AB91:AB125" si="44">ATAN(AA91)</f>
        <v>0.36993310380158362</v>
      </c>
      <c r="AC91">
        <f t="shared" ref="AC91:AC125" si="45">W91/L91</f>
        <v>2.8890690458423844E-2</v>
      </c>
      <c r="AD91" s="2">
        <f t="shared" ref="AD91:AD125" si="46">W91*L91*1000</f>
        <v>108740066.71195395</v>
      </c>
      <c r="AE91">
        <f t="shared" ref="AE91:AE125" si="47">X91*L91*1000</f>
        <v>-17105961.388704062</v>
      </c>
      <c r="AF91" s="3">
        <f t="shared" ref="AF91:AF125" si="48">Y91*L91*1000</f>
        <v>120794169.47135918</v>
      </c>
      <c r="AG91">
        <f t="shared" ref="AG91:AG125" si="49">L91*(X91*1000 - W91*1000)</f>
        <v>-125846028.100658</v>
      </c>
      <c r="AI91" s="2">
        <f t="shared" ref="AI91:AI125" si="50">L91*(X91*1000 - W91*1000)/(A91*31377)</f>
        <v>-5721.5023070933821</v>
      </c>
      <c r="AJ91" s="2">
        <f t="shared" ref="AJ91:AJ125" si="51">L91*(Y91*1000-W91*1000)/(A91*31377)</f>
        <v>548.03141417156155</v>
      </c>
      <c r="AK91">
        <f t="shared" ref="AK91:AK125" si="52">L91*(Y91*1000-W91*1000)</f>
        <v>12054102.759405222</v>
      </c>
      <c r="AO91" s="2">
        <f t="shared" ref="AO91:AO125" si="53">AD91/(A91*206225)</f>
        <v>752.19469276925429</v>
      </c>
      <c r="AP91" s="3">
        <f t="shared" ref="AP91:AP125" si="54">L91*SIN(AB91)</f>
        <v>701.43572440593596</v>
      </c>
    </row>
    <row r="92" spans="1:42" ht="14.65" thickBot="1" x14ac:dyDescent="0.5">
      <c r="A92" s="2">
        <v>0.70099999999999996</v>
      </c>
      <c r="B92" s="4">
        <f t="shared" si="27"/>
        <v>40000</v>
      </c>
      <c r="C92">
        <v>2.0333333333333301</v>
      </c>
      <c r="D92" s="5">
        <f t="shared" si="32"/>
        <v>1</v>
      </c>
      <c r="F92" s="2">
        <v>389.97</v>
      </c>
      <c r="G92" s="3">
        <v>5.8511999999999995E-4</v>
      </c>
      <c r="H92">
        <v>1.8446194884634001E-2</v>
      </c>
      <c r="I92">
        <v>0.134433205892279</v>
      </c>
      <c r="J92">
        <v>0</v>
      </c>
      <c r="K92" s="13">
        <v>968.07579999999996</v>
      </c>
      <c r="L92">
        <f t="shared" si="33"/>
        <v>1968.42079333333</v>
      </c>
      <c r="M92">
        <f t="shared" si="34"/>
        <v>1133.5765035660797</v>
      </c>
      <c r="N92" s="2">
        <f t="shared" si="35"/>
        <v>0.75183635697622853</v>
      </c>
      <c r="O92">
        <f t="shared" si="36"/>
        <v>1.37352148682257</v>
      </c>
      <c r="P92" s="4">
        <f t="shared" si="37"/>
        <v>0.18502768491749363</v>
      </c>
      <c r="Q92">
        <f t="shared" si="31"/>
        <v>1.5248572375877729</v>
      </c>
      <c r="R92">
        <f t="shared" si="30"/>
        <v>-0.11025555374861992</v>
      </c>
      <c r="S92" s="3">
        <f t="shared" si="28"/>
        <v>0.39513214814081687</v>
      </c>
      <c r="T92" s="2">
        <f t="shared" si="38"/>
        <v>4.6998151278189737E-2</v>
      </c>
      <c r="U92" s="3">
        <f t="shared" si="39"/>
        <v>1.874313447512713E-2</v>
      </c>
      <c r="V92">
        <v>2.0333333333333301</v>
      </c>
      <c r="W92" s="13">
        <f t="shared" ref="W92:W125" si="55">M92*U92*2713/1000</f>
        <v>57.642505578269734</v>
      </c>
      <c r="X92" s="2">
        <f t="shared" si="40"/>
        <v>-14.11271087982335</v>
      </c>
      <c r="Y92" s="3">
        <f t="shared" si="41"/>
        <v>60.060086517404166</v>
      </c>
      <c r="Z92" s="13">
        <f t="shared" si="42"/>
        <v>2.5074862126480562</v>
      </c>
      <c r="AA92" s="2">
        <f t="shared" si="43"/>
        <v>0.3988057820441373</v>
      </c>
      <c r="AB92" s="3">
        <f t="shared" si="44"/>
        <v>0.37947645511741046</v>
      </c>
      <c r="AC92">
        <f t="shared" si="45"/>
        <v>2.9283629686037673E-2</v>
      </c>
      <c r="AD92" s="2">
        <f t="shared" si="46"/>
        <v>113464706.5600986</v>
      </c>
      <c r="AE92">
        <f t="shared" si="47"/>
        <v>-27779753.546145797</v>
      </c>
      <c r="AF92" s="3">
        <f t="shared" si="48"/>
        <v>118223523.15025714</v>
      </c>
      <c r="AG92">
        <f t="shared" si="49"/>
        <v>-141244460.10624442</v>
      </c>
      <c r="AI92" s="2">
        <f t="shared" si="50"/>
        <v>-6421.5813288573008</v>
      </c>
      <c r="AJ92" s="2">
        <f t="shared" si="51"/>
        <v>216.35629276951352</v>
      </c>
      <c r="AK92">
        <f t="shared" si="52"/>
        <v>4758816.5901585463</v>
      </c>
      <c r="AO92" s="2">
        <f t="shared" si="53"/>
        <v>784.8767494065238</v>
      </c>
      <c r="AP92" s="3">
        <f t="shared" si="54"/>
        <v>729.17042314534183</v>
      </c>
    </row>
    <row r="93" spans="1:42" ht="14.65" thickBot="1" x14ac:dyDescent="0.5">
      <c r="A93" s="2">
        <v>0.70099999999999996</v>
      </c>
      <c r="B93" s="4">
        <f t="shared" si="27"/>
        <v>40000</v>
      </c>
      <c r="C93">
        <v>2.0626262626262601</v>
      </c>
      <c r="D93" s="5">
        <f t="shared" si="32"/>
        <v>1</v>
      </c>
      <c r="F93" s="2">
        <v>389.97</v>
      </c>
      <c r="G93" s="3">
        <v>5.8511999999999995E-4</v>
      </c>
      <c r="H93">
        <v>1.8440322358299999E-2</v>
      </c>
      <c r="I93">
        <v>0.136541169745167</v>
      </c>
      <c r="J93">
        <v>0</v>
      </c>
      <c r="K93" s="13">
        <v>968.07579999999996</v>
      </c>
      <c r="L93">
        <f t="shared" si="33"/>
        <v>1996.7785692929267</v>
      </c>
      <c r="M93">
        <f t="shared" si="34"/>
        <v>1166.473189004633</v>
      </c>
      <c r="N93" s="2">
        <f t="shared" si="35"/>
        <v>0.75183635697622853</v>
      </c>
      <c r="O93">
        <f t="shared" si="36"/>
        <v>1.3915629512442866</v>
      </c>
      <c r="P93" s="4">
        <f t="shared" si="37"/>
        <v>0.18502768491749363</v>
      </c>
      <c r="Q93">
        <f t="shared" si="31"/>
        <v>1.596118329916264</v>
      </c>
      <c r="R93">
        <f t="shared" si="30"/>
        <v>-0.15504685151102074</v>
      </c>
      <c r="S93" s="3">
        <f t="shared" si="28"/>
        <v>0.37881902745579654</v>
      </c>
      <c r="T93" s="2">
        <f t="shared" si="38"/>
        <v>4.5672717129024723E-2</v>
      </c>
      <c r="U93" s="3">
        <f t="shared" si="39"/>
        <v>1.8725146841046501E-2</v>
      </c>
      <c r="V93">
        <v>2.0626262626262601</v>
      </c>
      <c r="W93" s="13">
        <f t="shared" si="55"/>
        <v>59.258381688443279</v>
      </c>
      <c r="X93" s="2">
        <f t="shared" si="40"/>
        <v>-19.845996993410655</v>
      </c>
      <c r="Y93" s="3">
        <f t="shared" si="41"/>
        <v>57.58049217328108</v>
      </c>
      <c r="Z93" s="13">
        <f t="shared" si="42"/>
        <v>2.4391112933174837</v>
      </c>
      <c r="AA93" s="2">
        <f t="shared" si="43"/>
        <v>0.4099853921138138</v>
      </c>
      <c r="AB93" s="3">
        <f t="shared" si="44"/>
        <v>0.38908472530997812</v>
      </c>
      <c r="AC93">
        <f t="shared" si="45"/>
        <v>2.9676992030932648E-2</v>
      </c>
      <c r="AD93" s="2">
        <f t="shared" si="46"/>
        <v>118325866.60646394</v>
      </c>
      <c r="AE93">
        <f t="shared" si="47"/>
        <v>-39628061.482694253</v>
      </c>
      <c r="AF93" s="3">
        <f t="shared" si="48"/>
        <v>114975492.78094676</v>
      </c>
      <c r="AG93">
        <f t="shared" si="49"/>
        <v>-157953928.08915821</v>
      </c>
      <c r="AI93" s="2">
        <f t="shared" si="50"/>
        <v>-7181.2656912280863</v>
      </c>
      <c r="AJ93" s="2">
        <f t="shared" si="51"/>
        <v>-152.32242019580801</v>
      </c>
      <c r="AK93">
        <f t="shared" si="52"/>
        <v>-3350373.8255171911</v>
      </c>
      <c r="AO93" s="2">
        <f t="shared" si="53"/>
        <v>818.50316603604369</v>
      </c>
      <c r="AP93" s="3">
        <f t="shared" si="54"/>
        <v>757.46139724870704</v>
      </c>
    </row>
    <row r="94" spans="1:42" ht="14.65" thickBot="1" x14ac:dyDescent="0.5">
      <c r="A94" s="2">
        <v>0.70099999999999996</v>
      </c>
      <c r="B94" s="4">
        <f t="shared" si="27"/>
        <v>40000</v>
      </c>
      <c r="C94">
        <v>2.0919191919191902</v>
      </c>
      <c r="D94" s="5">
        <f t="shared" si="32"/>
        <v>1</v>
      </c>
      <c r="F94" s="2">
        <v>389.97</v>
      </c>
      <c r="G94" s="3">
        <v>5.8511999999999995E-4</v>
      </c>
      <c r="H94">
        <v>1.8434563102946E-2</v>
      </c>
      <c r="I94">
        <v>0.13864265969608799</v>
      </c>
      <c r="J94">
        <v>0</v>
      </c>
      <c r="K94" s="13">
        <v>968.07579999999996</v>
      </c>
      <c r="L94">
        <f t="shared" si="33"/>
        <v>2025.1363452525234</v>
      </c>
      <c r="M94">
        <f t="shared" si="34"/>
        <v>1199.8404065653654</v>
      </c>
      <c r="N94" s="2">
        <f t="shared" si="35"/>
        <v>0.75183635697622853</v>
      </c>
      <c r="O94">
        <f t="shared" si="36"/>
        <v>1.4098624686712951</v>
      </c>
      <c r="P94" s="4">
        <f t="shared" si="37"/>
        <v>0.18502768491749363</v>
      </c>
      <c r="Q94">
        <f t="shared" si="31"/>
        <v>1.6707970765407802</v>
      </c>
      <c r="R94">
        <f t="shared" si="30"/>
        <v>-0.20347699589842799</v>
      </c>
      <c r="S94" s="3">
        <f t="shared" si="28"/>
        <v>0.36056002814853394</v>
      </c>
      <c r="T94" s="2">
        <f t="shared" si="38"/>
        <v>4.4402571965805528E-2</v>
      </c>
      <c r="U94" s="3">
        <f t="shared" si="39"/>
        <v>1.8707909362156779E-2</v>
      </c>
      <c r="V94">
        <v>2.0919191919191902</v>
      </c>
      <c r="W94" s="13">
        <f t="shared" si="55"/>
        <v>60.897369625187146</v>
      </c>
      <c r="X94" s="2">
        <f t="shared" si="40"/>
        <v>-26.045055474998783</v>
      </c>
      <c r="Y94" s="3">
        <f t="shared" si="41"/>
        <v>54.805124278577161</v>
      </c>
      <c r="Z94" s="13">
        <f t="shared" si="42"/>
        <v>2.3734652069474476</v>
      </c>
      <c r="AA94" s="2">
        <f t="shared" si="43"/>
        <v>0.42132490380430576</v>
      </c>
      <c r="AB94" s="3">
        <f t="shared" si="44"/>
        <v>0.39875369437533092</v>
      </c>
      <c r="AC94">
        <f t="shared" si="45"/>
        <v>3.0070750430185766E-2</v>
      </c>
      <c r="AD94" s="2">
        <f t="shared" si="46"/>
        <v>123325476.55824353</v>
      </c>
      <c r="AE94">
        <f t="shared" si="47"/>
        <v>-52744788.45653826</v>
      </c>
      <c r="AF94" s="3">
        <f t="shared" si="48"/>
        <v>110987849.08262809</v>
      </c>
      <c r="AG94">
        <f t="shared" si="49"/>
        <v>-176070265.01478177</v>
      </c>
      <c r="AI94" s="2">
        <f t="shared" si="50"/>
        <v>-8004.9123734509812</v>
      </c>
      <c r="AJ94" s="2">
        <f t="shared" si="51"/>
        <v>-560.92166857527798</v>
      </c>
      <c r="AK94">
        <f t="shared" si="52"/>
        <v>-12337627.475615434</v>
      </c>
      <c r="AO94" s="2">
        <f t="shared" si="53"/>
        <v>853.0872911461264</v>
      </c>
      <c r="AP94" s="3">
        <f t="shared" si="54"/>
        <v>786.29992504579673</v>
      </c>
    </row>
    <row r="95" spans="1:42" ht="14.65" thickBot="1" x14ac:dyDescent="0.5">
      <c r="A95" s="2">
        <v>0.70099999999999996</v>
      </c>
      <c r="B95" s="4">
        <f t="shared" si="27"/>
        <v>40000</v>
      </c>
      <c r="C95">
        <v>2.1212121212121202</v>
      </c>
      <c r="D95" s="5">
        <f t="shared" si="32"/>
        <v>1</v>
      </c>
      <c r="F95" s="2">
        <v>389.97</v>
      </c>
      <c r="G95" s="3">
        <v>5.8511999999999995E-4</v>
      </c>
      <c r="H95">
        <v>1.8428910806529E-2</v>
      </c>
      <c r="I95">
        <v>0.14073796662749499</v>
      </c>
      <c r="J95">
        <v>0</v>
      </c>
      <c r="K95" s="13">
        <v>968.07579999999996</v>
      </c>
      <c r="L95">
        <f t="shared" si="33"/>
        <v>2053.4941212121203</v>
      </c>
      <c r="M95">
        <f t="shared" si="34"/>
        <v>1233.678156248277</v>
      </c>
      <c r="N95" s="2">
        <f t="shared" si="35"/>
        <v>0.75183635697622853</v>
      </c>
      <c r="O95">
        <f t="shared" si="36"/>
        <v>1.4284200391035959</v>
      </c>
      <c r="P95" s="4">
        <f t="shared" si="37"/>
        <v>0.18502768491749363</v>
      </c>
      <c r="Q95">
        <f t="shared" si="31"/>
        <v>1.7490444757295147</v>
      </c>
      <c r="R95">
        <f t="shared" si="30"/>
        <v>-0.25577591875488037</v>
      </c>
      <c r="S95" s="3">
        <f t="shared" si="28"/>
        <v>0.3402230800538889</v>
      </c>
      <c r="T95" s="2">
        <f t="shared" si="38"/>
        <v>4.3184682917639529E-2</v>
      </c>
      <c r="U95" s="3">
        <f t="shared" si="39"/>
        <v>1.8691375410336601E-2</v>
      </c>
      <c r="V95">
        <v>2.1212121212121202</v>
      </c>
      <c r="W95" s="13">
        <f t="shared" si="55"/>
        <v>62.559451035916382</v>
      </c>
      <c r="X95" s="2">
        <f t="shared" si="40"/>
        <v>-32.739317600624688</v>
      </c>
      <c r="Y95" s="3">
        <f t="shared" si="41"/>
        <v>51.713908168191111</v>
      </c>
      <c r="Z95" s="13">
        <f t="shared" si="42"/>
        <v>2.3104069106523735</v>
      </c>
      <c r="AA95" s="2">
        <f t="shared" si="43"/>
        <v>0.43282419014131018</v>
      </c>
      <c r="AB95" s="3">
        <f t="shared" si="44"/>
        <v>0.4084790974484202</v>
      </c>
      <c r="AC95">
        <f t="shared" si="45"/>
        <v>3.046487953858338E-2</v>
      </c>
      <c r="AD95" s="2">
        <f t="shared" si="46"/>
        <v>128465464.92851178</v>
      </c>
      <c r="AE95">
        <f t="shared" si="47"/>
        <v>-67229996.225379288</v>
      </c>
      <c r="AF95" s="3">
        <f t="shared" si="48"/>
        <v>106194206.40828389</v>
      </c>
      <c r="AG95">
        <f t="shared" si="49"/>
        <v>-195695461.15389106</v>
      </c>
      <c r="AI95" s="2">
        <f t="shared" si="50"/>
        <v>-8897.1582923866372</v>
      </c>
      <c r="AJ95" s="2">
        <f t="shared" si="51"/>
        <v>-1012.547308234758</v>
      </c>
      <c r="AK95">
        <f t="shared" si="52"/>
        <v>-22271258.520227883</v>
      </c>
      <c r="AO95" s="2">
        <f t="shared" si="53"/>
        <v>888.64246496492672</v>
      </c>
      <c r="AP95" s="3">
        <f t="shared" si="54"/>
        <v>815.6766469289862</v>
      </c>
    </row>
    <row r="96" spans="1:42" ht="14.65" thickBot="1" x14ac:dyDescent="0.5">
      <c r="A96" s="2">
        <v>0.70099999999999996</v>
      </c>
      <c r="B96" s="4">
        <f t="shared" ref="B96:B125" si="56">B95</f>
        <v>40000</v>
      </c>
      <c r="C96">
        <v>2.1505050505050498</v>
      </c>
      <c r="D96" s="5">
        <f t="shared" si="32"/>
        <v>1</v>
      </c>
      <c r="F96" s="2">
        <v>389.97</v>
      </c>
      <c r="G96" s="3">
        <v>5.8511999999999995E-4</v>
      </c>
      <c r="H96">
        <v>1.8423359722330002E-2</v>
      </c>
      <c r="I96">
        <v>0.142827364992683</v>
      </c>
      <c r="J96">
        <v>0</v>
      </c>
      <c r="K96" s="13">
        <v>968.07579999999996</v>
      </c>
      <c r="L96">
        <f t="shared" si="33"/>
        <v>2081.8518971717162</v>
      </c>
      <c r="M96">
        <f t="shared" si="34"/>
        <v>1267.9864380533666</v>
      </c>
      <c r="N96" s="2">
        <f t="shared" si="35"/>
        <v>0.75183635697622853</v>
      </c>
      <c r="O96">
        <f t="shared" si="36"/>
        <v>1.4472356625411886</v>
      </c>
      <c r="P96" s="4">
        <f t="shared" si="37"/>
        <v>0.18502768491749363</v>
      </c>
      <c r="Q96">
        <f t="shared" si="31"/>
        <v>1.8310174305579803</v>
      </c>
      <c r="R96">
        <f t="shared" si="30"/>
        <v>-0.3121853896536167</v>
      </c>
      <c r="S96" s="3">
        <f t="shared" si="28"/>
        <v>0.31766949315419718</v>
      </c>
      <c r="T96" s="2">
        <f t="shared" si="38"/>
        <v>4.2016222256911658E-2</v>
      </c>
      <c r="U96" s="3">
        <f t="shared" si="39"/>
        <v>1.8675501858269324E-2</v>
      </c>
      <c r="V96">
        <v>2.1505050505050498</v>
      </c>
      <c r="W96" s="13">
        <f t="shared" si="55"/>
        <v>64.244607996381703</v>
      </c>
      <c r="X96" s="2">
        <f t="shared" si="40"/>
        <v>-39.959729875662937</v>
      </c>
      <c r="Y96" s="3">
        <f t="shared" si="41"/>
        <v>48.285762959437967</v>
      </c>
      <c r="Z96" s="13">
        <f t="shared" si="42"/>
        <v>2.2498041860281948</v>
      </c>
      <c r="AA96" s="2">
        <f t="shared" si="43"/>
        <v>0.44448312711400917</v>
      </c>
      <c r="AB96" s="3">
        <f t="shared" si="44"/>
        <v>0.41825663113852057</v>
      </c>
      <c r="AC96">
        <f t="shared" si="45"/>
        <v>3.0859355597610338E-2</v>
      </c>
      <c r="AD96" s="2">
        <f t="shared" si="46"/>
        <v>133747759.04032047</v>
      </c>
      <c r="AE96">
        <f t="shared" si="47"/>
        <v>-83190239.452118203</v>
      </c>
      <c r="AF96" s="3">
        <f t="shared" si="48"/>
        <v>100523807.22348972</v>
      </c>
      <c r="AG96">
        <f t="shared" si="49"/>
        <v>-216937998.49243867</v>
      </c>
      <c r="AI96" s="2">
        <f t="shared" si="50"/>
        <v>-9862.9355062197537</v>
      </c>
      <c r="AJ96" s="2">
        <f t="shared" si="51"/>
        <v>-1510.5039057626209</v>
      </c>
      <c r="AK96">
        <f t="shared" si="52"/>
        <v>-33223951.816830739</v>
      </c>
      <c r="AO96" s="2">
        <f t="shared" si="53"/>
        <v>925.18201948877902</v>
      </c>
      <c r="AP96" s="3">
        <f t="shared" si="54"/>
        <v>845.58158676898245</v>
      </c>
    </row>
    <row r="97" spans="1:42" ht="14.65" thickBot="1" x14ac:dyDescent="0.5">
      <c r="A97" s="2">
        <v>0.70099999999999996</v>
      </c>
      <c r="B97" s="4">
        <f t="shared" si="56"/>
        <v>40000</v>
      </c>
      <c r="C97">
        <v>2.1797979797979798</v>
      </c>
      <c r="D97" s="5">
        <f t="shared" si="32"/>
        <v>1</v>
      </c>
      <c r="F97" s="2">
        <v>389.97</v>
      </c>
      <c r="G97" s="3">
        <v>5.8511999999999995E-4</v>
      </c>
      <c r="H97">
        <v>1.8417904600512E-2</v>
      </c>
      <c r="I97">
        <v>0.144911113811175</v>
      </c>
      <c r="J97">
        <v>0</v>
      </c>
      <c r="K97" s="13">
        <v>968.07579999999996</v>
      </c>
      <c r="L97">
        <f t="shared" si="33"/>
        <v>2110.2096731313131</v>
      </c>
      <c r="M97">
        <f t="shared" si="34"/>
        <v>1302.7652519806363</v>
      </c>
      <c r="N97" s="2">
        <f t="shared" si="35"/>
        <v>0.75183635697622853</v>
      </c>
      <c r="O97">
        <f t="shared" si="36"/>
        <v>1.4663093389840736</v>
      </c>
      <c r="P97" s="4">
        <f t="shared" si="37"/>
        <v>0.18502768491749363</v>
      </c>
      <c r="Q97">
        <f t="shared" si="31"/>
        <v>1.9168789379214206</v>
      </c>
      <c r="R97">
        <f t="shared" si="30"/>
        <v>-0.37295951306365505</v>
      </c>
      <c r="S97" s="3">
        <f t="shared" si="28"/>
        <v>0.29275370385272781</v>
      </c>
      <c r="T97" s="2">
        <f t="shared" si="38"/>
        <v>4.0894550970716148E-2</v>
      </c>
      <c r="U97" s="3">
        <f t="shared" si="39"/>
        <v>1.8660248773792118E-2</v>
      </c>
      <c r="V97">
        <v>2.1797979797979798</v>
      </c>
      <c r="W97" s="13">
        <f t="shared" si="55"/>
        <v>65.95282298673429</v>
      </c>
      <c r="X97" s="2">
        <f t="shared" si="40"/>
        <v>-47.738817672147846</v>
      </c>
      <c r="Y97" s="3">
        <f t="shared" si="41"/>
        <v>44.498562985614626</v>
      </c>
      <c r="Z97" s="13">
        <f t="shared" si="42"/>
        <v>2.1915329997181812</v>
      </c>
      <c r="AA97" s="2">
        <f t="shared" si="43"/>
        <v>0.4563015935094723</v>
      </c>
      <c r="AB97" s="3">
        <f t="shared" si="44"/>
        <v>0.42808196012185012</v>
      </c>
      <c r="AC97">
        <f t="shared" si="45"/>
        <v>3.1254156317494147E-2</v>
      </c>
      <c r="AD97" s="2">
        <f t="shared" si="46"/>
        <v>139174285.03692392</v>
      </c>
      <c r="AE97">
        <f t="shared" si="47"/>
        <v>-100738914.83561847</v>
      </c>
      <c r="AF97" s="3">
        <f t="shared" si="48"/>
        <v>93901298.052686989</v>
      </c>
      <c r="AG97">
        <f t="shared" si="49"/>
        <v>-239913199.87254235</v>
      </c>
      <c r="AI97" s="2">
        <f t="shared" si="50"/>
        <v>-10907.487087911753</v>
      </c>
      <c r="AJ97" s="2">
        <f t="shared" si="51"/>
        <v>-2058.3049253817958</v>
      </c>
      <c r="AK97">
        <f t="shared" si="52"/>
        <v>-45272986.984236926</v>
      </c>
      <c r="AO97" s="2">
        <f t="shared" si="53"/>
        <v>962.71927855292836</v>
      </c>
      <c r="AP97" s="3">
        <f t="shared" si="54"/>
        <v>876.00417561872814</v>
      </c>
    </row>
    <row r="98" spans="1:42" ht="14.65" thickBot="1" x14ac:dyDescent="0.5">
      <c r="A98" s="2">
        <v>0.70099999999999996</v>
      </c>
      <c r="B98" s="4">
        <f t="shared" si="56"/>
        <v>40000</v>
      </c>
      <c r="C98">
        <v>2.2090909090909001</v>
      </c>
      <c r="D98" s="5">
        <f t="shared" si="32"/>
        <v>1</v>
      </c>
      <c r="F98" s="2">
        <v>389.97</v>
      </c>
      <c r="G98" s="3">
        <v>5.8511999999999995E-4</v>
      </c>
      <c r="H98">
        <v>1.8412540629975001E-2</v>
      </c>
      <c r="I98">
        <v>0.14698945762203799</v>
      </c>
      <c r="J98">
        <v>0</v>
      </c>
      <c r="K98" s="13">
        <v>968.07579999999996</v>
      </c>
      <c r="L98">
        <f t="shared" si="33"/>
        <v>2138.5674490909005</v>
      </c>
      <c r="M98">
        <f t="shared" si="34"/>
        <v>1338.0145980300733</v>
      </c>
      <c r="N98" s="2">
        <f t="shared" si="35"/>
        <v>0.75183635697622853</v>
      </c>
      <c r="O98">
        <f t="shared" si="36"/>
        <v>1.4856410684322443</v>
      </c>
      <c r="P98" s="4">
        <f t="shared" si="37"/>
        <v>0.18502768491749363</v>
      </c>
      <c r="Q98">
        <f t="shared" si="31"/>
        <v>2.0067982820500485</v>
      </c>
      <c r="R98">
        <f t="shared" si="30"/>
        <v>-0.43836524156828183</v>
      </c>
      <c r="S98" s="3">
        <f t="shared" si="28"/>
        <v>0.26532301446194606</v>
      </c>
      <c r="T98" s="2">
        <f t="shared" si="38"/>
        <v>3.9817203846981168E-2</v>
      </c>
      <c r="U98" s="3">
        <f t="shared" si="39"/>
        <v>1.8645579145148715E-2</v>
      </c>
      <c r="V98">
        <v>2.2090909090909001</v>
      </c>
      <c r="W98" s="13">
        <f t="shared" si="55"/>
        <v>67.684078871426138</v>
      </c>
      <c r="X98" s="2">
        <f t="shared" si="40"/>
        <v>-56.110750920740074</v>
      </c>
      <c r="Y98" s="3">
        <f t="shared" si="41"/>
        <v>40.329098198215803</v>
      </c>
      <c r="Z98" s="13">
        <f t="shared" si="42"/>
        <v>2.1354769158425939</v>
      </c>
      <c r="AA98" s="2">
        <f t="shared" si="43"/>
        <v>0.46827947077359561</v>
      </c>
      <c r="AB98" s="3">
        <f t="shared" si="44"/>
        <v>0.43795072395201518</v>
      </c>
      <c r="AC98">
        <f t="shared" si="45"/>
        <v>3.1649260770427637E-2</v>
      </c>
      <c r="AD98" s="2">
        <f t="shared" si="46"/>
        <v>144746967.8961331</v>
      </c>
      <c r="AE98">
        <f t="shared" si="47"/>
        <v>-119996625.46314201</v>
      </c>
      <c r="AF98" s="3">
        <f t="shared" si="48"/>
        <v>86246496.657894805</v>
      </c>
      <c r="AG98">
        <f t="shared" si="49"/>
        <v>-264743593.3592751</v>
      </c>
      <c r="AI98" s="2">
        <f t="shared" si="50"/>
        <v>-12036.383690883962</v>
      </c>
      <c r="AJ98" s="2">
        <f t="shared" si="51"/>
        <v>-2659.6833146606123</v>
      </c>
      <c r="AK98">
        <f t="shared" si="52"/>
        <v>-58500471.23823832</v>
      </c>
      <c r="AO98" s="2">
        <f t="shared" si="53"/>
        <v>1001.2675579308234</v>
      </c>
      <c r="AP98" s="3">
        <f t="shared" si="54"/>
        <v>906.93327759072929</v>
      </c>
    </row>
    <row r="99" spans="1:42" ht="14.65" thickBot="1" x14ac:dyDescent="0.5">
      <c r="A99" s="2">
        <v>0.70099999999999996</v>
      </c>
      <c r="B99" s="4">
        <f t="shared" si="56"/>
        <v>40000</v>
      </c>
      <c r="C99">
        <v>2.2383838383838301</v>
      </c>
      <c r="D99" s="5">
        <f t="shared" si="32"/>
        <v>1</v>
      </c>
      <c r="F99" s="2">
        <v>389.97</v>
      </c>
      <c r="G99" s="3">
        <v>5.8511999999999995E-4</v>
      </c>
      <c r="H99">
        <v>1.8407263388676001E-2</v>
      </c>
      <c r="I99">
        <v>0.149062627389971</v>
      </c>
      <c r="J99">
        <v>0</v>
      </c>
      <c r="K99" s="13">
        <v>968.07579999999996</v>
      </c>
      <c r="L99">
        <f t="shared" si="33"/>
        <v>2166.9252250504969</v>
      </c>
      <c r="M99">
        <f t="shared" si="34"/>
        <v>1373.7344762017003</v>
      </c>
      <c r="N99" s="2">
        <f t="shared" si="35"/>
        <v>0.75183635697622853</v>
      </c>
      <c r="O99">
        <f t="shared" si="36"/>
        <v>1.5052308508857131</v>
      </c>
      <c r="P99" s="4">
        <f t="shared" si="37"/>
        <v>0.18502768491749363</v>
      </c>
      <c r="Q99">
        <f t="shared" si="31"/>
        <v>2.1009512325874171</v>
      </c>
      <c r="R99">
        <f t="shared" si="30"/>
        <v>-0.50868290549725392</v>
      </c>
      <c r="S99" s="3">
        <f t="shared" si="28"/>
        <v>0.23521732580358187</v>
      </c>
      <c r="T99" s="2">
        <f t="shared" si="38"/>
        <v>3.8781875917757544E-2</v>
      </c>
      <c r="U99" s="3">
        <f t="shared" si="39"/>
        <v>1.8631458633448918E-2</v>
      </c>
      <c r="V99">
        <v>2.2383838383838301</v>
      </c>
      <c r="W99" s="13">
        <f t="shared" si="55"/>
        <v>69.438358881942449</v>
      </c>
      <c r="X99" s="2">
        <f t="shared" si="40"/>
        <v>-65.111411903648502</v>
      </c>
      <c r="Y99" s="3">
        <f t="shared" si="41"/>
        <v>35.753033522144449</v>
      </c>
      <c r="Z99" s="13">
        <f t="shared" si="42"/>
        <v>2.0815265557433453</v>
      </c>
      <c r="AA99" s="2">
        <f t="shared" si="43"/>
        <v>0.48041664289163227</v>
      </c>
      <c r="AB99" s="3">
        <f t="shared" si="44"/>
        <v>0.44785854405004838</v>
      </c>
      <c r="AC99">
        <f t="shared" si="45"/>
        <v>3.2044649293481872E-2</v>
      </c>
      <c r="AD99" s="2">
        <f t="shared" si="46"/>
        <v>150467731.44739032</v>
      </c>
      <c r="AE99">
        <f t="shared" si="47"/>
        <v>-141091560.89266914</v>
      </c>
      <c r="AF99" s="3">
        <f t="shared" si="48"/>
        <v>77474150.211210817</v>
      </c>
      <c r="AG99">
        <f t="shared" si="49"/>
        <v>-291559292.34005946</v>
      </c>
      <c r="AI99" s="2">
        <f t="shared" si="50"/>
        <v>-13255.540829972702</v>
      </c>
      <c r="AJ99" s="2">
        <f t="shared" si="51"/>
        <v>-3318.6024998084586</v>
      </c>
      <c r="AK99">
        <f t="shared" si="52"/>
        <v>-72993581.236179486</v>
      </c>
      <c r="AO99" s="2">
        <f t="shared" si="53"/>
        <v>1040.8401654522277</v>
      </c>
      <c r="AP99" s="3">
        <f t="shared" si="54"/>
        <v>938.35721777967581</v>
      </c>
    </row>
    <row r="100" spans="1:42" ht="14.65" thickBot="1" x14ac:dyDescent="0.5">
      <c r="A100" s="2">
        <v>0.70099999999999996</v>
      </c>
      <c r="B100" s="4">
        <f t="shared" si="56"/>
        <v>40000</v>
      </c>
      <c r="C100">
        <v>2.2676767676767602</v>
      </c>
      <c r="D100" s="5">
        <f t="shared" si="32"/>
        <v>1</v>
      </c>
      <c r="F100" s="2">
        <v>389.97</v>
      </c>
      <c r="G100" s="3">
        <v>5.8511999999999995E-4</v>
      </c>
      <c r="H100">
        <v>1.8402068800961E-2</v>
      </c>
      <c r="I100">
        <v>0.15113084136164801</v>
      </c>
      <c r="J100">
        <v>0</v>
      </c>
      <c r="K100" s="13">
        <v>968.07579999999996</v>
      </c>
      <c r="L100">
        <f t="shared" si="33"/>
        <v>2195.2830010100938</v>
      </c>
      <c r="M100">
        <f t="shared" si="34"/>
        <v>1409.9248864955073</v>
      </c>
      <c r="N100" s="2">
        <f t="shared" si="35"/>
        <v>0.75183635697622853</v>
      </c>
      <c r="O100">
        <f t="shared" si="36"/>
        <v>1.5250786863444745</v>
      </c>
      <c r="P100" s="4">
        <f t="shared" si="37"/>
        <v>0.18502768491749363</v>
      </c>
      <c r="Q100">
        <f t="shared" si="31"/>
        <v>2.1995202472916087</v>
      </c>
      <c r="R100">
        <f t="shared" si="30"/>
        <v>-0.58420675933827448</v>
      </c>
      <c r="S100" s="3">
        <f t="shared" ref="S100:S125" si="57">Q100*(1-0.1 * C100^0.5 - 2.2*(O100-1)/O100)</f>
        <v>0.20226886281753731</v>
      </c>
      <c r="T100" s="2">
        <f t="shared" si="38"/>
        <v>3.7786410120344921E-2</v>
      </c>
      <c r="U100" s="3">
        <f t="shared" si="39"/>
        <v>1.8617855349187813E-2</v>
      </c>
      <c r="V100">
        <v>2.2676767676767602</v>
      </c>
      <c r="W100" s="13">
        <f t="shared" si="55"/>
        <v>71.215646601652097</v>
      </c>
      <c r="X100" s="2">
        <f t="shared" si="40"/>
        <v>-74.778465195299134</v>
      </c>
      <c r="Y100" s="3">
        <f t="shared" si="41"/>
        <v>30.744867148265673</v>
      </c>
      <c r="Z100" s="13">
        <f t="shared" si="42"/>
        <v>2.0295791009029038</v>
      </c>
      <c r="AA100" s="2">
        <f t="shared" si="43"/>
        <v>0.49271299628338089</v>
      </c>
      <c r="AB100" s="3">
        <f t="shared" si="44"/>
        <v>0.45780103083635837</v>
      </c>
      <c r="AC100">
        <f t="shared" si="45"/>
        <v>3.2440303400010091E-2</v>
      </c>
      <c r="AD100" s="2">
        <f t="shared" si="46"/>
        <v>156338498.39054909</v>
      </c>
      <c r="AE100">
        <f t="shared" si="47"/>
        <v>-164159893.48486513</v>
      </c>
      <c r="AF100" s="3">
        <f t="shared" si="48"/>
        <v>67493684.218901306</v>
      </c>
      <c r="AG100">
        <f t="shared" si="49"/>
        <v>-320498391.87541425</v>
      </c>
      <c r="AI100" s="2">
        <f t="shared" si="50"/>
        <v>-14571.236901240856</v>
      </c>
      <c r="AJ100" s="2">
        <f t="shared" si="51"/>
        <v>-4039.2678015215633</v>
      </c>
      <c r="AK100">
        <f t="shared" si="52"/>
        <v>-88844814.171647802</v>
      </c>
      <c r="AO100" s="2">
        <f t="shared" si="53"/>
        <v>1081.4504011331273</v>
      </c>
      <c r="AP100" s="3">
        <f t="shared" si="54"/>
        <v>970.26381208853923</v>
      </c>
    </row>
    <row r="101" spans="1:42" ht="14.65" thickBot="1" x14ac:dyDescent="0.5">
      <c r="A101" s="2">
        <v>0.70099999999999996</v>
      </c>
      <c r="B101" s="4">
        <f t="shared" si="56"/>
        <v>40000</v>
      </c>
      <c r="C101">
        <v>2.2969696969696898</v>
      </c>
      <c r="D101" s="5">
        <f t="shared" si="32"/>
        <v>1</v>
      </c>
      <c r="F101" s="2">
        <v>389.97</v>
      </c>
      <c r="G101" s="3">
        <v>5.8511999999999995E-4</v>
      </c>
      <c r="H101">
        <v>1.8396953100724998E-2</v>
      </c>
      <c r="I101">
        <v>0.15319430587161001</v>
      </c>
      <c r="J101">
        <v>0</v>
      </c>
      <c r="K101" s="13">
        <v>968.07579999999996</v>
      </c>
      <c r="L101">
        <f t="shared" si="33"/>
        <v>2223.6407769696898</v>
      </c>
      <c r="M101">
        <f t="shared" si="34"/>
        <v>1446.5858289114919</v>
      </c>
      <c r="N101" s="2">
        <f t="shared" si="35"/>
        <v>0.75183635697622853</v>
      </c>
      <c r="O101">
        <f t="shared" si="36"/>
        <v>1.5451845748085278</v>
      </c>
      <c r="P101" s="4">
        <f t="shared" si="37"/>
        <v>0.18502768491749363</v>
      </c>
      <c r="Q101">
        <f t="shared" si="31"/>
        <v>2.3026946794200907</v>
      </c>
      <c r="R101">
        <f t="shared" si="30"/>
        <v>-0.66524554529831603</v>
      </c>
      <c r="S101" s="3">
        <f t="shared" si="57"/>
        <v>0.1663018930761859</v>
      </c>
      <c r="T101" s="2">
        <f t="shared" si="38"/>
        <v>3.6828786052804367E-2</v>
      </c>
      <c r="U101" s="3">
        <f t="shared" si="39"/>
        <v>1.8604739650101246E-2</v>
      </c>
      <c r="V101">
        <v>2.2969696969696898</v>
      </c>
      <c r="W101" s="13">
        <f t="shared" si="55"/>
        <v>73.015925952214872</v>
      </c>
      <c r="X101" s="2">
        <f t="shared" si="40"/>
        <v>-85.151429798184452</v>
      </c>
      <c r="Y101" s="3">
        <f t="shared" si="41"/>
        <v>25.277887747580255</v>
      </c>
      <c r="Z101" s="13">
        <f t="shared" si="42"/>
        <v>1.9795378352743542</v>
      </c>
      <c r="AA101" s="2">
        <f t="shared" si="43"/>
        <v>0.50516841970914128</v>
      </c>
      <c r="AB101" s="3">
        <f t="shared" si="44"/>
        <v>0.46777379096686783</v>
      </c>
      <c r="AC101">
        <f t="shared" si="45"/>
        <v>3.2836205698529582E-2</v>
      </c>
      <c r="AD101" s="2">
        <f t="shared" si="46"/>
        <v>162361190.3155444</v>
      </c>
      <c r="AE101">
        <f t="shared" si="47"/>
        <v>-189346191.51651487</v>
      </c>
      <c r="AF101" s="3">
        <f t="shared" si="48"/>
        <v>56208941.951181956</v>
      </c>
      <c r="AG101">
        <f t="shared" si="49"/>
        <v>-351707381.83205932</v>
      </c>
      <c r="AI101" s="2">
        <f t="shared" si="50"/>
        <v>-15990.131964787684</v>
      </c>
      <c r="AJ101" s="2">
        <f t="shared" si="51"/>
        <v>-4826.1382825214014</v>
      </c>
      <c r="AK101">
        <f t="shared" si="52"/>
        <v>-106152248.36436246</v>
      </c>
      <c r="AO101" s="2">
        <f t="shared" si="53"/>
        <v>1123.1115573117975</v>
      </c>
      <c r="AP101" s="3">
        <f t="shared" si="54"/>
        <v>1002.6403988027226</v>
      </c>
    </row>
    <row r="102" spans="1:42" ht="14.65" thickBot="1" x14ac:dyDescent="0.5">
      <c r="A102" s="2">
        <v>0.70099999999999996</v>
      </c>
      <c r="B102" s="4">
        <f t="shared" si="56"/>
        <v>40000</v>
      </c>
      <c r="C102">
        <v>2.3262626262626198</v>
      </c>
      <c r="D102" s="5">
        <f t="shared" si="32"/>
        <v>1</v>
      </c>
      <c r="F102" s="2">
        <v>389.97</v>
      </c>
      <c r="G102" s="3">
        <v>5.8511999999999995E-4</v>
      </c>
      <c r="H102">
        <v>1.8391912799465001E-2</v>
      </c>
      <c r="I102">
        <v>0.15525321609827999</v>
      </c>
      <c r="J102">
        <v>0</v>
      </c>
      <c r="K102" s="13">
        <v>968.07579999999996</v>
      </c>
      <c r="L102">
        <f t="shared" si="33"/>
        <v>2251.9985529292867</v>
      </c>
      <c r="M102">
        <f t="shared" si="34"/>
        <v>1483.717303449657</v>
      </c>
      <c r="N102" s="2">
        <f t="shared" si="35"/>
        <v>0.75183635697622853</v>
      </c>
      <c r="O102">
        <f t="shared" si="36"/>
        <v>1.5655485162778737</v>
      </c>
      <c r="P102" s="4">
        <f t="shared" si="37"/>
        <v>0.18502768491749363</v>
      </c>
      <c r="Q102">
        <f t="shared" si="31"/>
        <v>2.4106709898581746</v>
      </c>
      <c r="R102">
        <f t="shared" si="30"/>
        <v>-0.75212307438892079</v>
      </c>
      <c r="S102" s="3">
        <f t="shared" si="57"/>
        <v>0.12713243810074604</v>
      </c>
      <c r="T102" s="2">
        <f t="shared" si="38"/>
        <v>3.5907109714318743E-2</v>
      </c>
      <c r="U102" s="3">
        <f t="shared" si="39"/>
        <v>1.8592083958024141E-2</v>
      </c>
      <c r="V102">
        <v>2.3262626262626198</v>
      </c>
      <c r="W102" s="13">
        <f t="shared" si="55"/>
        <v>74.839181181199081</v>
      </c>
      <c r="X102" s="2">
        <f t="shared" si="40"/>
        <v>-96.271753521781861</v>
      </c>
      <c r="Y102" s="3">
        <f t="shared" si="41"/>
        <v>19.324130591313398</v>
      </c>
      <c r="Z102" s="13">
        <f t="shared" si="42"/>
        <v>1.9313117236016797</v>
      </c>
      <c r="AA102" s="2">
        <f t="shared" si="43"/>
        <v>0.51778280418404554</v>
      </c>
      <c r="AB102" s="3">
        <f t="shared" si="44"/>
        <v>0.4777724346361763</v>
      </c>
      <c r="AC102">
        <f t="shared" si="45"/>
        <v>3.3232339818270319E-2</v>
      </c>
      <c r="AD102" s="2">
        <f t="shared" si="46"/>
        <v>168537727.72247303</v>
      </c>
      <c r="AE102">
        <f t="shared" si="47"/>
        <v>-216803849.61901772</v>
      </c>
      <c r="AF102" s="3">
        <f t="shared" si="48"/>
        <v>43517914.128254332</v>
      </c>
      <c r="AG102">
        <f t="shared" si="49"/>
        <v>-385341577.34149075</v>
      </c>
      <c r="AI102" s="2">
        <f t="shared" si="50"/>
        <v>-17519.287315249123</v>
      </c>
      <c r="AJ102" s="2">
        <f t="shared" si="51"/>
        <v>-5683.9390381043486</v>
      </c>
      <c r="AK102">
        <f t="shared" si="52"/>
        <v>-125019813.59421869</v>
      </c>
      <c r="AO102" s="2">
        <f t="shared" si="53"/>
        <v>1165.8369187877045</v>
      </c>
      <c r="AP102" s="3">
        <f t="shared" si="54"/>
        <v>1035.4738717451771</v>
      </c>
    </row>
    <row r="103" spans="1:42" ht="14.65" thickBot="1" x14ac:dyDescent="0.5">
      <c r="A103" s="2">
        <v>0.70099999999999996</v>
      </c>
      <c r="B103" s="4">
        <f t="shared" si="56"/>
        <v>40000</v>
      </c>
      <c r="C103">
        <v>2.3555555555555499</v>
      </c>
      <c r="D103" s="5">
        <f t="shared" si="32"/>
        <v>1</v>
      </c>
      <c r="F103" s="2">
        <v>389.97</v>
      </c>
      <c r="G103" s="3">
        <v>5.8511999999999995E-4</v>
      </c>
      <c r="H103">
        <v>1.8386944658451001E-2</v>
      </c>
      <c r="I103">
        <v>0.15730775677147499</v>
      </c>
      <c r="J103">
        <v>0</v>
      </c>
      <c r="K103" s="13">
        <v>968.07579999999996</v>
      </c>
      <c r="L103">
        <f t="shared" si="33"/>
        <v>2280.3563288888831</v>
      </c>
      <c r="M103">
        <f t="shared" si="34"/>
        <v>1521.3193101100005</v>
      </c>
      <c r="N103" s="2">
        <f t="shared" si="35"/>
        <v>0.75183635697622853</v>
      </c>
      <c r="O103">
        <f t="shared" si="36"/>
        <v>1.5861705107525108</v>
      </c>
      <c r="P103" s="4">
        <f t="shared" si="37"/>
        <v>0.18502768491749363</v>
      </c>
      <c r="Q103">
        <f t="shared" si="31"/>
        <v>2.5236529640516174</v>
      </c>
      <c r="R103">
        <f t="shared" si="30"/>
        <v>-0.84517882541423284</v>
      </c>
      <c r="S103" s="3">
        <f t="shared" si="57"/>
        <v>8.4567977376091535E-2</v>
      </c>
      <c r="T103" s="2">
        <f t="shared" si="38"/>
        <v>3.501960413303886E-2</v>
      </c>
      <c r="U103" s="3">
        <f t="shared" si="39"/>
        <v>1.8579862592706321E-2</v>
      </c>
      <c r="V103">
        <v>2.3555555555555499</v>
      </c>
      <c r="W103" s="13">
        <f t="shared" si="55"/>
        <v>76.685396850620549</v>
      </c>
      <c r="X103" s="2">
        <f t="shared" si="40"/>
        <v>-108.1828896530218</v>
      </c>
      <c r="Y103" s="3">
        <f t="shared" si="41"/>
        <v>12.854332561165913</v>
      </c>
      <c r="Z103" s="13">
        <f t="shared" si="42"/>
        <v>1.8848150226248765</v>
      </c>
      <c r="AA103" s="2">
        <f t="shared" si="43"/>
        <v>0.53055604289876457</v>
      </c>
      <c r="AB103" s="3">
        <f t="shared" si="44"/>
        <v>0.48779258291050026</v>
      </c>
      <c r="AC103">
        <f t="shared" si="45"/>
        <v>3.3628690340682832E-2</v>
      </c>
      <c r="AD103" s="2">
        <f t="shared" si="46"/>
        <v>174870030.04166818</v>
      </c>
      <c r="AE103">
        <f t="shared" si="47"/>
        <v>-246695537.09775594</v>
      </c>
      <c r="AF103" s="3">
        <f t="shared" si="48"/>
        <v>29312458.609497137</v>
      </c>
      <c r="AG103">
        <f t="shared" si="49"/>
        <v>-421565567.13942409</v>
      </c>
      <c r="AI103" s="2">
        <f t="shared" si="50"/>
        <v>-19166.185865239346</v>
      </c>
      <c r="AJ103" s="2">
        <f t="shared" si="51"/>
        <v>-6617.6739411906956</v>
      </c>
      <c r="AK103">
        <f t="shared" si="52"/>
        <v>-145557571.43217105</v>
      </c>
      <c r="AO103" s="2">
        <f t="shared" si="53"/>
        <v>1209.6397629603707</v>
      </c>
      <c r="AP103" s="3">
        <f t="shared" si="54"/>
        <v>1068.7507148338318</v>
      </c>
    </row>
    <row r="104" spans="1:42" ht="14.65" thickBot="1" x14ac:dyDescent="0.5">
      <c r="A104" s="2">
        <v>0.70099999999999996</v>
      </c>
      <c r="B104" s="4">
        <f t="shared" si="56"/>
        <v>40000</v>
      </c>
      <c r="C104">
        <v>2.3848484848484799</v>
      </c>
      <c r="D104" s="5">
        <f t="shared" si="32"/>
        <v>1</v>
      </c>
      <c r="F104" s="2">
        <v>389.97</v>
      </c>
      <c r="G104" s="3">
        <v>5.8511999999999995E-4</v>
      </c>
      <c r="H104">
        <v>1.8382045664385002E-2</v>
      </c>
      <c r="I104">
        <v>0.15935810283336899</v>
      </c>
      <c r="J104">
        <v>0</v>
      </c>
      <c r="K104" s="13">
        <v>968.07579999999996</v>
      </c>
      <c r="L104">
        <f t="shared" si="33"/>
        <v>2308.71410484848</v>
      </c>
      <c r="M104">
        <f t="shared" si="34"/>
        <v>1559.3918488925235</v>
      </c>
      <c r="N104" s="2">
        <f t="shared" si="35"/>
        <v>0.75183635697622853</v>
      </c>
      <c r="O104">
        <f t="shared" si="36"/>
        <v>1.6070505582324408</v>
      </c>
      <c r="P104" s="4">
        <f t="shared" si="37"/>
        <v>0.18502768491749363</v>
      </c>
      <c r="Q104">
        <f t="shared" si="31"/>
        <v>2.6418519338038999</v>
      </c>
      <c r="R104">
        <f t="shared" si="30"/>
        <v>-0.94476856224475025</v>
      </c>
      <c r="S104" s="3">
        <f t="shared" si="57"/>
        <v>3.8407144960201783E-2</v>
      </c>
      <c r="T104" s="2">
        <f t="shared" si="38"/>
        <v>3.416460079474988E-2</v>
      </c>
      <c r="U104" s="3">
        <f t="shared" si="39"/>
        <v>1.8568051620802228E-2</v>
      </c>
      <c r="V104">
        <v>2.3848484848484799</v>
      </c>
      <c r="W104" s="13">
        <f t="shared" si="55"/>
        <v>78.554557826210271</v>
      </c>
      <c r="X104" s="2">
        <f t="shared" si="40"/>
        <v>-120.93037596732803</v>
      </c>
      <c r="Y104" s="3">
        <f t="shared" si="41"/>
        <v>5.8378860339506708</v>
      </c>
      <c r="Z104" s="13">
        <f t="shared" si="42"/>
        <v>1.8399669223492716</v>
      </c>
      <c r="AA104" s="2">
        <f t="shared" si="43"/>
        <v>0.54348803114525501</v>
      </c>
      <c r="AB104" s="3">
        <f t="shared" si="44"/>
        <v>0.49782987505356224</v>
      </c>
      <c r="AC104">
        <f t="shared" si="45"/>
        <v>3.4025242736309171E-2</v>
      </c>
      <c r="AD104" s="2">
        <f t="shared" si="46"/>
        <v>181360015.6535072</v>
      </c>
      <c r="AE104">
        <f t="shared" si="47"/>
        <v>-279193664.70039988</v>
      </c>
      <c r="AF104" s="3">
        <f t="shared" si="48"/>
        <v>13478009.829079866</v>
      </c>
      <c r="AG104">
        <f t="shared" si="49"/>
        <v>-460553680.35390711</v>
      </c>
      <c r="AI104" s="2">
        <f t="shared" si="50"/>
        <v>-20938.753367548277</v>
      </c>
      <c r="AJ104" s="2">
        <f t="shared" si="51"/>
        <v>-7632.6388535332999</v>
      </c>
      <c r="AK104">
        <f t="shared" si="52"/>
        <v>-167882005.82442734</v>
      </c>
      <c r="AO104" s="2">
        <f t="shared" si="53"/>
        <v>1254.5333599663902</v>
      </c>
      <c r="AP104" s="3">
        <f t="shared" si="54"/>
        <v>1102.4570378532537</v>
      </c>
    </row>
    <row r="105" spans="1:42" ht="14.65" thickBot="1" x14ac:dyDescent="0.5">
      <c r="A105" s="2">
        <v>0.70099999999999996</v>
      </c>
      <c r="B105" s="4">
        <f t="shared" si="56"/>
        <v>40000</v>
      </c>
      <c r="C105">
        <v>2.4141414141414099</v>
      </c>
      <c r="D105" s="5">
        <f t="shared" si="32"/>
        <v>1</v>
      </c>
      <c r="F105" s="2">
        <v>389.97</v>
      </c>
      <c r="G105" s="3">
        <v>5.8511999999999995E-4</v>
      </c>
      <c r="H105">
        <v>1.8377213008022999E-2</v>
      </c>
      <c r="I105">
        <v>0.16140442005515401</v>
      </c>
      <c r="J105">
        <v>0</v>
      </c>
      <c r="K105" s="13">
        <v>968.07579999999996</v>
      </c>
      <c r="L105">
        <f t="shared" si="33"/>
        <v>2337.0718808080765</v>
      </c>
      <c r="M105">
        <f t="shared" si="34"/>
        <v>1597.9349197972251</v>
      </c>
      <c r="N105" s="2">
        <f t="shared" si="35"/>
        <v>0.75183635697622853</v>
      </c>
      <c r="O105">
        <f t="shared" si="36"/>
        <v>1.6281886587176626</v>
      </c>
      <c r="P105" s="4">
        <f t="shared" si="37"/>
        <v>0.18502768491749363</v>
      </c>
      <c r="Q105">
        <f t="shared" si="31"/>
        <v>2.765487003998651</v>
      </c>
      <c r="R105">
        <f t="shared" si="30"/>
        <v>-1.0512649697639416</v>
      </c>
      <c r="S105" s="3">
        <f t="shared" si="57"/>
        <v>-1.1560581415640613E-2</v>
      </c>
      <c r="T105" s="2">
        <f t="shared" si="38"/>
        <v>3.3340531795100027E-2</v>
      </c>
      <c r="U105" s="3">
        <f t="shared" si="39"/>
        <v>1.8556628718462139E-2</v>
      </c>
      <c r="V105">
        <v>2.4141414141414099</v>
      </c>
      <c r="W105" s="13">
        <f t="shared" si="55"/>
        <v>80.446649267243501</v>
      </c>
      <c r="X105" s="2">
        <f t="shared" si="40"/>
        <v>-134.56191612978452</v>
      </c>
      <c r="Y105" s="3">
        <f t="shared" si="41"/>
        <v>-1.757208375177373</v>
      </c>
      <c r="Z105" s="13">
        <f t="shared" si="42"/>
        <v>1.7966912148179839</v>
      </c>
      <c r="AA105" s="2">
        <f t="shared" si="43"/>
        <v>0.55657866624639019</v>
      </c>
      <c r="AB105" s="3">
        <f t="shared" si="44"/>
        <v>0.50787997580892619</v>
      </c>
      <c r="AC105">
        <f t="shared" si="45"/>
        <v>3.4421983306490302E-2</v>
      </c>
      <c r="AD105" s="2">
        <f t="shared" si="46"/>
        <v>188009601.90770444</v>
      </c>
      <c r="AE105">
        <f t="shared" si="47"/>
        <v>-314480870.41457415</v>
      </c>
      <c r="AF105" s="3">
        <f t="shared" si="48"/>
        <v>-4106722.2823474878</v>
      </c>
      <c r="AG105">
        <f t="shared" si="49"/>
        <v>-502490472.3222785</v>
      </c>
      <c r="AI105" s="2">
        <f t="shared" si="50"/>
        <v>-22845.380502472352</v>
      </c>
      <c r="AJ105" s="2">
        <f t="shared" si="51"/>
        <v>-8734.435314911103</v>
      </c>
      <c r="AK105">
        <f t="shared" si="52"/>
        <v>-192116324.19005191</v>
      </c>
      <c r="AO105" s="2">
        <f t="shared" si="53"/>
        <v>1300.5309728128857</v>
      </c>
      <c r="AP105" s="3">
        <f t="shared" si="54"/>
        <v>1136.5786132441333</v>
      </c>
    </row>
    <row r="106" spans="1:42" ht="14.65" thickBot="1" x14ac:dyDescent="0.5">
      <c r="A106" s="2">
        <v>0.70099999999999996</v>
      </c>
      <c r="B106" s="4">
        <f t="shared" si="56"/>
        <v>40000</v>
      </c>
      <c r="C106">
        <v>2.44343434343434</v>
      </c>
      <c r="D106" s="5">
        <f t="shared" si="32"/>
        <v>1</v>
      </c>
      <c r="F106" s="2">
        <v>389.97</v>
      </c>
      <c r="G106" s="3">
        <v>5.8511999999999995E-4</v>
      </c>
      <c r="H106">
        <v>1.8372444065341002E-2</v>
      </c>
      <c r="I106">
        <v>0.16344686561184901</v>
      </c>
      <c r="J106">
        <v>0</v>
      </c>
      <c r="K106" s="13">
        <v>968.07579999999996</v>
      </c>
      <c r="L106">
        <f t="shared" si="33"/>
        <v>2365.4296567676734</v>
      </c>
      <c r="M106">
        <f t="shared" si="34"/>
        <v>1636.9485228241065</v>
      </c>
      <c r="N106" s="2">
        <f t="shared" si="35"/>
        <v>0.75183635697622853</v>
      </c>
      <c r="O106">
        <f t="shared" si="36"/>
        <v>1.6495848122081769</v>
      </c>
      <c r="P106" s="4">
        <f t="shared" si="37"/>
        <v>0.18502768491749363</v>
      </c>
      <c r="Q106">
        <f t="shared" si="31"/>
        <v>2.8947852843079462</v>
      </c>
      <c r="R106">
        <f t="shared" si="30"/>
        <v>-1.1650583088792856</v>
      </c>
      <c r="S106" s="3">
        <f t="shared" si="57"/>
        <v>-6.5555198860048403E-2</v>
      </c>
      <c r="T106" s="2">
        <f t="shared" si="38"/>
        <v>3.2545922646417036E-2</v>
      </c>
      <c r="U106" s="3">
        <f t="shared" si="39"/>
        <v>1.8545573046155023E-2</v>
      </c>
      <c r="V106">
        <v>2.44343434343434</v>
      </c>
      <c r="W106" s="13">
        <f t="shared" si="55"/>
        <v>82.361656616877866</v>
      </c>
      <c r="X106" s="2">
        <f t="shared" si="40"/>
        <v>-149.12746353654856</v>
      </c>
      <c r="Y106" s="3">
        <f t="shared" si="41"/>
        <v>-9.9643902267273567</v>
      </c>
      <c r="Z106" s="13">
        <f t="shared" si="42"/>
        <v>1.7549159880591907</v>
      </c>
      <c r="AA106" s="2">
        <f t="shared" si="43"/>
        <v>0.56982784748911386</v>
      </c>
      <c r="AB106" s="3">
        <f t="shared" si="44"/>
        <v>0.51793858260336978</v>
      </c>
      <c r="AC106">
        <f t="shared" si="45"/>
        <v>3.4818899129481586E-2</v>
      </c>
      <c r="AD106" s="2">
        <f t="shared" si="46"/>
        <v>194820705.1420784</v>
      </c>
      <c r="AE106">
        <f t="shared" si="47"/>
        <v>-352750524.88789177</v>
      </c>
      <c r="AF106" s="3">
        <f t="shared" si="48"/>
        <v>-23570064.153906848</v>
      </c>
      <c r="AG106">
        <f t="shared" si="49"/>
        <v>-547571230.02997017</v>
      </c>
      <c r="AI106" s="2">
        <f t="shared" si="50"/>
        <v>-24894.945857238818</v>
      </c>
      <c r="AJ106" s="2">
        <f t="shared" si="51"/>
        <v>-9928.9847223103952</v>
      </c>
      <c r="AK106">
        <f t="shared" si="52"/>
        <v>-218390769.29598522</v>
      </c>
      <c r="AO106" s="2">
        <f t="shared" si="53"/>
        <v>1347.6458575073273</v>
      </c>
      <c r="AP106" s="3">
        <f t="shared" si="54"/>
        <v>1171.1009137088486</v>
      </c>
    </row>
    <row r="107" spans="1:42" ht="14.65" thickBot="1" x14ac:dyDescent="0.5">
      <c r="A107" s="2">
        <v>0.70099999999999996</v>
      </c>
      <c r="B107" s="4">
        <f t="shared" si="56"/>
        <v>40000</v>
      </c>
      <c r="C107">
        <v>2.47272727272727</v>
      </c>
      <c r="D107" s="5">
        <f t="shared" si="32"/>
        <v>1</v>
      </c>
      <c r="F107" s="2">
        <v>389.97</v>
      </c>
      <c r="G107" s="3">
        <v>5.8511999999999995E-4</v>
      </c>
      <c r="H107">
        <v>1.8367736380876E-2</v>
      </c>
      <c r="I107">
        <v>0.165485588617759</v>
      </c>
      <c r="J107">
        <v>0</v>
      </c>
      <c r="K107" s="13">
        <v>968.07579999999996</v>
      </c>
      <c r="L107">
        <f t="shared" si="33"/>
        <v>2393.7874327272698</v>
      </c>
      <c r="M107">
        <f t="shared" si="34"/>
        <v>1676.4326579731662</v>
      </c>
      <c r="N107" s="2">
        <f t="shared" si="35"/>
        <v>0.75183635697622853</v>
      </c>
      <c r="O107">
        <f t="shared" si="36"/>
        <v>1.6712390187039832</v>
      </c>
      <c r="P107" s="4">
        <f t="shared" si="37"/>
        <v>0.18502768491749363</v>
      </c>
      <c r="Q107">
        <f t="shared" si="31"/>
        <v>3.0299821259470736</v>
      </c>
      <c r="R107">
        <f t="shared" si="30"/>
        <v>-1.2865570909934414</v>
      </c>
      <c r="S107" s="3">
        <f t="shared" si="57"/>
        <v>-0.12380650555236072</v>
      </c>
      <c r="T107" s="2">
        <f t="shared" si="38"/>
        <v>3.1779385677448882E-2</v>
      </c>
      <c r="U107" s="3">
        <f t="shared" si="39"/>
        <v>1.8534865134491006E-2</v>
      </c>
      <c r="V107">
        <v>2.47272727272727</v>
      </c>
      <c r="W107" s="13">
        <f t="shared" si="55"/>
        <v>84.299565592883752</v>
      </c>
      <c r="X107" s="2">
        <f t="shared" si="40"/>
        <v>-164.6793076471605</v>
      </c>
      <c r="Y107" s="3">
        <f t="shared" si="41"/>
        <v>-18.818588843958832</v>
      </c>
      <c r="Z107" s="13">
        <f t="shared" si="42"/>
        <v>1.7145733430944432</v>
      </c>
      <c r="AA107" s="2">
        <f t="shared" si="43"/>
        <v>0.58323547606030723</v>
      </c>
      <c r="AB107" s="3">
        <f t="shared" si="44"/>
        <v>0.52800143263630106</v>
      </c>
      <c r="AC107">
        <f t="shared" si="45"/>
        <v>3.5215978010562234E-2</v>
      </c>
      <c r="AD107" s="2">
        <f t="shared" si="46"/>
        <v>201795240.70061326</v>
      </c>
      <c r="AE107">
        <f t="shared" si="47"/>
        <v>-394207257.07600057</v>
      </c>
      <c r="AF107" s="3">
        <f t="shared" si="48"/>
        <v>-45047701.476330251</v>
      </c>
      <c r="AG107">
        <f t="shared" si="49"/>
        <v>-596002497.77661383</v>
      </c>
      <c r="AI107" s="2">
        <f t="shared" si="50"/>
        <v>-27096.839825050345</v>
      </c>
      <c r="AJ107" s="2">
        <f t="shared" si="51"/>
        <v>-11222.543011253896</v>
      </c>
      <c r="AK107">
        <f t="shared" si="52"/>
        <v>-246842942.17694354</v>
      </c>
      <c r="AO107" s="2">
        <f t="shared" si="53"/>
        <v>1395.8912631824705</v>
      </c>
      <c r="AP107" s="3">
        <f t="shared" si="54"/>
        <v>1206.0091504260695</v>
      </c>
    </row>
    <row r="108" spans="1:42" ht="14.65" thickBot="1" x14ac:dyDescent="0.5">
      <c r="A108" s="2">
        <v>0.70099999999999996</v>
      </c>
      <c r="B108" s="4">
        <f t="shared" si="56"/>
        <v>40000</v>
      </c>
      <c r="C108">
        <v>2.5020202020202</v>
      </c>
      <c r="D108" s="5">
        <f t="shared" si="32"/>
        <v>1</v>
      </c>
      <c r="F108" s="2">
        <v>389.97</v>
      </c>
      <c r="G108" s="3">
        <v>5.8511999999999995E-4</v>
      </c>
      <c r="H108">
        <v>1.8363087652944001E-2</v>
      </c>
      <c r="I108">
        <v>0.16752073062509301</v>
      </c>
      <c r="J108">
        <v>0</v>
      </c>
      <c r="K108" s="13">
        <v>968.07579999999996</v>
      </c>
      <c r="L108">
        <f t="shared" si="33"/>
        <v>2422.1452086868667</v>
      </c>
      <c r="M108">
        <f t="shared" si="34"/>
        <v>1716.3873252444057</v>
      </c>
      <c r="N108" s="2">
        <f t="shared" si="35"/>
        <v>0.75183635697622853</v>
      </c>
      <c r="O108">
        <f t="shared" si="36"/>
        <v>1.6931512782050817</v>
      </c>
      <c r="P108" s="4">
        <f t="shared" si="37"/>
        <v>0.18502768491749363</v>
      </c>
      <c r="Q108">
        <f t="shared" si="31"/>
        <v>3.1713213635365949</v>
      </c>
      <c r="R108">
        <f t="shared" si="30"/>
        <v>-1.416188772335647</v>
      </c>
      <c r="S108" s="3">
        <f t="shared" si="57"/>
        <v>-0.18655443479554873</v>
      </c>
      <c r="T108" s="2">
        <f t="shared" si="38"/>
        <v>3.1039613970823127E-2</v>
      </c>
      <c r="U108" s="3">
        <f t="shared" si="39"/>
        <v>1.8524486779962202E-2</v>
      </c>
      <c r="V108">
        <v>2.5020202020202</v>
      </c>
      <c r="W108" s="13">
        <f t="shared" si="55"/>
        <v>86.260362178723824</v>
      </c>
      <c r="X108" s="2">
        <f t="shared" si="40"/>
        <v>-181.27216285896282</v>
      </c>
      <c r="Y108" s="3">
        <f t="shared" si="41"/>
        <v>-28.35627408892341</v>
      </c>
      <c r="Z108" s="13">
        <f t="shared" si="42"/>
        <v>1.675599132084914</v>
      </c>
      <c r="AA108" s="2">
        <f t="shared" si="43"/>
        <v>0.59680145498507176</v>
      </c>
      <c r="AB108" s="3">
        <f t="shared" si="44"/>
        <v>0.53806430982168629</v>
      </c>
      <c r="AC108">
        <f t="shared" si="45"/>
        <v>3.5613208435793457E-2</v>
      </c>
      <c r="AD108" s="2">
        <f t="shared" si="46"/>
        <v>208935122.95078972</v>
      </c>
      <c r="AE108">
        <f t="shared" si="47"/>
        <v>-439067500.73714215</v>
      </c>
      <c r="AF108" s="3">
        <f t="shared" si="48"/>
        <v>-68683013.420697391</v>
      </c>
      <c r="AG108">
        <f t="shared" si="49"/>
        <v>-648002623.6879319</v>
      </c>
      <c r="AI108" s="2">
        <f t="shared" si="50"/>
        <v>-29460.98945186878</v>
      </c>
      <c r="AJ108" s="2">
        <f t="shared" si="51"/>
        <v>-12621.715851611558</v>
      </c>
      <c r="AK108">
        <f t="shared" si="52"/>
        <v>-277618136.37148708</v>
      </c>
      <c r="AO108" s="2">
        <f t="shared" si="53"/>
        <v>1445.2804322162406</v>
      </c>
      <c r="AP108" s="3">
        <f t="shared" si="54"/>
        <v>1241.2883116656928</v>
      </c>
    </row>
    <row r="109" spans="1:42" ht="14.65" thickBot="1" x14ac:dyDescent="0.5">
      <c r="A109" s="2">
        <v>0.70099999999999996</v>
      </c>
      <c r="B109" s="4">
        <f t="shared" si="56"/>
        <v>40000</v>
      </c>
      <c r="C109">
        <v>2.5313131313131301</v>
      </c>
      <c r="D109" s="5">
        <f t="shared" si="32"/>
        <v>1</v>
      </c>
      <c r="F109" s="2">
        <v>389.97</v>
      </c>
      <c r="G109" s="3">
        <v>5.8511999999999995E-4</v>
      </c>
      <c r="H109">
        <v>1.8358495720488002E-2</v>
      </c>
      <c r="I109">
        <v>0.169552426088176</v>
      </c>
      <c r="J109">
        <v>0</v>
      </c>
      <c r="K109" s="13">
        <v>968.07579999999996</v>
      </c>
      <c r="L109">
        <f t="shared" si="33"/>
        <v>2450.5029846464631</v>
      </c>
      <c r="M109">
        <f t="shared" si="34"/>
        <v>1756.8125246378236</v>
      </c>
      <c r="N109" s="2">
        <f t="shared" si="35"/>
        <v>0.75183635697622853</v>
      </c>
      <c r="O109">
        <f t="shared" si="36"/>
        <v>1.7153215907114721</v>
      </c>
      <c r="P109" s="4">
        <f t="shared" si="37"/>
        <v>0.18502768491749363</v>
      </c>
      <c r="Q109">
        <f t="shared" si="31"/>
        <v>3.3190555621324367</v>
      </c>
      <c r="R109">
        <f t="shared" si="30"/>
        <v>-1.5544004685576289</v>
      </c>
      <c r="S109" s="3">
        <f t="shared" si="57"/>
        <v>-0.25404939699578377</v>
      </c>
      <c r="T109" s="2">
        <f t="shared" si="38"/>
        <v>3.0325375788735984E-2</v>
      </c>
      <c r="U109" s="3">
        <f t="shared" si="39"/>
        <v>1.8514420949643871E-2</v>
      </c>
      <c r="V109">
        <v>2.5313131313131301</v>
      </c>
      <c r="W109" s="13">
        <f t="shared" si="55"/>
        <v>88.244032614968162</v>
      </c>
      <c r="X109" s="2">
        <f t="shared" si="40"/>
        <v>-198.9632599753765</v>
      </c>
      <c r="Y109" s="3">
        <f t="shared" si="41"/>
        <v>-38.615508343359139</v>
      </c>
      <c r="Z109" s="13">
        <f t="shared" si="42"/>
        <v>1.6379327158659693</v>
      </c>
      <c r="AA109" s="2">
        <f t="shared" si="43"/>
        <v>0.61052568906733351</v>
      </c>
      <c r="AB109" s="3">
        <f t="shared" si="44"/>
        <v>0.54812305155042973</v>
      </c>
      <c r="AC109">
        <f t="shared" si="45"/>
        <v>3.6010579529124398E-2</v>
      </c>
      <c r="AD109" s="2">
        <f t="shared" si="46"/>
        <v>216242265.30021933</v>
      </c>
      <c r="AE109">
        <f t="shared" si="47"/>
        <v>-487560062.40465033</v>
      </c>
      <c r="AF109" s="3">
        <f t="shared" si="48"/>
        <v>-94627418.449041978</v>
      </c>
      <c r="AG109">
        <f t="shared" si="49"/>
        <v>-703802327.70486963</v>
      </c>
      <c r="AI109" s="2">
        <f t="shared" si="50"/>
        <v>-31997.884259646726</v>
      </c>
      <c r="AJ109" s="2">
        <f t="shared" si="51"/>
        <v>-14133.47437039603</v>
      </c>
      <c r="AK109">
        <f t="shared" si="52"/>
        <v>-310869683.74926126</v>
      </c>
      <c r="AO109" s="2">
        <f t="shared" si="53"/>
        <v>1495.8266003467977</v>
      </c>
      <c r="AP109" s="3">
        <f t="shared" si="54"/>
        <v>1276.9232015952589</v>
      </c>
    </row>
    <row r="110" spans="1:42" ht="14.65" thickBot="1" x14ac:dyDescent="0.5">
      <c r="A110" s="2">
        <v>0.70099999999999996</v>
      </c>
      <c r="B110" s="4">
        <f t="shared" si="56"/>
        <v>40000</v>
      </c>
      <c r="C110">
        <v>2.5606060606060601</v>
      </c>
      <c r="D110" s="5">
        <f t="shared" si="32"/>
        <v>1</v>
      </c>
      <c r="F110" s="2">
        <v>389.97</v>
      </c>
      <c r="G110" s="3">
        <v>5.8511999999999995E-4</v>
      </c>
      <c r="H110">
        <v>1.8353958551333E-2</v>
      </c>
      <c r="I110">
        <v>0.17158080279563101</v>
      </c>
      <c r="J110">
        <v>0</v>
      </c>
      <c r="K110" s="13">
        <v>968.07579999999996</v>
      </c>
      <c r="L110">
        <f t="shared" si="33"/>
        <v>2478.86076060606</v>
      </c>
      <c r="M110">
        <f t="shared" si="34"/>
        <v>1797.7082561534212</v>
      </c>
      <c r="N110" s="2">
        <f t="shared" si="35"/>
        <v>0.75183635697622853</v>
      </c>
      <c r="O110">
        <f t="shared" si="36"/>
        <v>1.7377499562231546</v>
      </c>
      <c r="P110" s="4">
        <f t="shared" si="37"/>
        <v>0.18502768491749363</v>
      </c>
      <c r="Q110">
        <f t="shared" si="31"/>
        <v>3.4734462694849211</v>
      </c>
      <c r="R110">
        <f t="shared" si="30"/>
        <v>-1.7016596900026806</v>
      </c>
      <c r="S110" s="3">
        <f t="shared" si="57"/>
        <v>-0.32655262967342263</v>
      </c>
      <c r="T110" s="2">
        <f t="shared" si="38"/>
        <v>2.9635509442447198E-2</v>
      </c>
      <c r="U110" s="3">
        <f t="shared" si="39"/>
        <v>1.8504651693987774E-2</v>
      </c>
      <c r="V110">
        <v>2.5606060606060601</v>
      </c>
      <c r="W110" s="13">
        <f t="shared" si="55"/>
        <v>90.250563390975898</v>
      </c>
      <c r="X110" s="2">
        <f t="shared" si="40"/>
        <v>-217.81244032034311</v>
      </c>
      <c r="Y110" s="3">
        <f t="shared" si="41"/>
        <v>-49.635999710360245</v>
      </c>
      <c r="Z110" s="13">
        <f t="shared" si="42"/>
        <v>1.6015167392789067</v>
      </c>
      <c r="AA110" s="2">
        <f t="shared" si="43"/>
        <v>0.62440808483229249</v>
      </c>
      <c r="AB110" s="3">
        <f t="shared" si="44"/>
        <v>0.55817355524245305</v>
      </c>
      <c r="AC110">
        <f t="shared" si="45"/>
        <v>3.6408081012549658E-2</v>
      </c>
      <c r="AD110" s="2">
        <f t="shared" si="46"/>
        <v>223718580.21247995</v>
      </c>
      <c r="AE110">
        <f t="shared" si="47"/>
        <v>-539926711.48194778</v>
      </c>
      <c r="AF110" s="3">
        <f t="shared" si="48"/>
        <v>-123040731.99546577</v>
      </c>
      <c r="AG110">
        <f t="shared" si="49"/>
        <v>-763645291.69442785</v>
      </c>
      <c r="AI110" s="2">
        <f t="shared" si="50"/>
        <v>-34718.603075306935</v>
      </c>
      <c r="AJ110" s="2">
        <f t="shared" si="51"/>
        <v>-15765.171414206141</v>
      </c>
      <c r="AK110">
        <f t="shared" si="52"/>
        <v>-346759312.20794576</v>
      </c>
      <c r="AO110" s="2">
        <f t="shared" si="53"/>
        <v>1547.5429967820764</v>
      </c>
      <c r="AP110" s="3">
        <f t="shared" si="54"/>
        <v>1312.8984790700638</v>
      </c>
    </row>
    <row r="111" spans="1:42" ht="14.65" thickBot="1" x14ac:dyDescent="0.5">
      <c r="A111" s="2">
        <v>0.70099999999999996</v>
      </c>
      <c r="B111" s="4">
        <f t="shared" si="56"/>
        <v>40000</v>
      </c>
      <c r="C111">
        <v>2.5898989898989901</v>
      </c>
      <c r="D111" s="5">
        <f t="shared" si="32"/>
        <v>1</v>
      </c>
      <c r="F111" s="2">
        <v>389.97</v>
      </c>
      <c r="G111" s="3">
        <v>5.8511999999999995E-4</v>
      </c>
      <c r="H111">
        <v>1.8349474231674E-2</v>
      </c>
      <c r="I111">
        <v>0.17360598227276899</v>
      </c>
      <c r="J111">
        <v>0</v>
      </c>
      <c r="K111" s="13">
        <v>968.07579999999996</v>
      </c>
      <c r="L111">
        <f t="shared" si="33"/>
        <v>2507.2185365656569</v>
      </c>
      <c r="M111">
        <f t="shared" si="34"/>
        <v>1839.0745197911979</v>
      </c>
      <c r="N111" s="2">
        <f t="shared" si="35"/>
        <v>0.75183635697622853</v>
      </c>
      <c r="O111">
        <f t="shared" si="36"/>
        <v>1.7604363747401295</v>
      </c>
      <c r="P111" s="4">
        <f t="shared" si="37"/>
        <v>0.18502768491749363</v>
      </c>
      <c r="Q111">
        <f t="shared" si="31"/>
        <v>3.6347642735875794</v>
      </c>
      <c r="R111">
        <f t="shared" ref="R111:R125" si="58">Q111*(1-0.3*C111^1-1.7*((O111-1)/O111))</f>
        <v>-1.858455098060769</v>
      </c>
      <c r="S111" s="3">
        <f t="shared" si="57"/>
        <v>-0.404336555610322</v>
      </c>
      <c r="T111" s="2">
        <f t="shared" si="38"/>
        <v>2.8968918565653756E-2</v>
      </c>
      <c r="U111" s="3">
        <f t="shared" si="39"/>
        <v>1.8495164066947897E-2</v>
      </c>
      <c r="V111">
        <v>2.5898989898989901</v>
      </c>
      <c r="W111" s="13">
        <f t="shared" si="55"/>
        <v>92.279941236853844</v>
      </c>
      <c r="X111" s="2">
        <f t="shared" si="40"/>
        <v>-237.88225255177844</v>
      </c>
      <c r="Y111" s="3">
        <f t="shared" si="41"/>
        <v>-61.459156452768937</v>
      </c>
      <c r="Z111" s="13">
        <f t="shared" si="42"/>
        <v>1.5662969228493173</v>
      </c>
      <c r="AA111" s="2">
        <f t="shared" si="43"/>
        <v>0.63844855047078652</v>
      </c>
      <c r="AB111" s="3">
        <f t="shared" si="44"/>
        <v>0.56821178465995281</v>
      </c>
      <c r="AC111">
        <f t="shared" si="45"/>
        <v>3.6805703169081244E-2</v>
      </c>
      <c r="AD111" s="2">
        <f t="shared" si="46"/>
        <v>231365979.22222951</v>
      </c>
      <c r="AE111">
        <f t="shared" si="47"/>
        <v>-596422793.11781192</v>
      </c>
      <c r="AF111" s="3">
        <f t="shared" si="48"/>
        <v>-154091536.30007109</v>
      </c>
      <c r="AG111">
        <f t="shared" si="49"/>
        <v>-827788772.3400414</v>
      </c>
      <c r="AI111" s="2">
        <f t="shared" si="50"/>
        <v>-37634.841895377882</v>
      </c>
      <c r="AJ111" s="2">
        <f t="shared" si="51"/>
        <v>-17524.558364157027</v>
      </c>
      <c r="AK111">
        <f t="shared" si="52"/>
        <v>-385457515.5223006</v>
      </c>
      <c r="AO111" s="2">
        <f t="shared" si="53"/>
        <v>1600.4428443043339</v>
      </c>
      <c r="AP111" s="3">
        <f t="shared" si="54"/>
        <v>1349.1986962036119</v>
      </c>
    </row>
    <row r="112" spans="1:42" ht="14.65" thickBot="1" x14ac:dyDescent="0.5">
      <c r="A112" s="2">
        <v>0.70099999999999996</v>
      </c>
      <c r="B112" s="4">
        <f t="shared" si="56"/>
        <v>40000</v>
      </c>
      <c r="C112">
        <v>2.61919191919191</v>
      </c>
      <c r="D112" s="5">
        <f t="shared" si="32"/>
        <v>1</v>
      </c>
      <c r="F112" s="2">
        <v>389.97</v>
      </c>
      <c r="G112" s="3">
        <v>5.8511999999999995E-4</v>
      </c>
      <c r="H112">
        <v>1.8345040956647001E-2</v>
      </c>
      <c r="I112">
        <v>0.17562808015631201</v>
      </c>
      <c r="J112">
        <v>0</v>
      </c>
      <c r="K112" s="13">
        <v>968.07579999999996</v>
      </c>
      <c r="L112">
        <f t="shared" si="33"/>
        <v>2535.5763125252433</v>
      </c>
      <c r="M112">
        <f t="shared" si="34"/>
        <v>1880.9113155511379</v>
      </c>
      <c r="N112" s="2">
        <f t="shared" si="35"/>
        <v>0.75183635697622853</v>
      </c>
      <c r="O112">
        <f t="shared" si="36"/>
        <v>1.7833808462623881</v>
      </c>
      <c r="P112" s="4">
        <f t="shared" si="37"/>
        <v>0.18502768491749363</v>
      </c>
      <c r="Q112">
        <f t="shared" si="31"/>
        <v>3.803289865576688</v>
      </c>
      <c r="R112">
        <f t="shared" si="58"/>
        <v>-2.0252972830268363</v>
      </c>
      <c r="S112" s="3">
        <f t="shared" si="57"/>
        <v>-0.48768514923853101</v>
      </c>
      <c r="T112" s="2">
        <f t="shared" si="38"/>
        <v>2.83245677558111E-2</v>
      </c>
      <c r="U112" s="3">
        <f t="shared" si="39"/>
        <v>1.8485944052756779E-2</v>
      </c>
      <c r="V112">
        <v>2.61919191919191</v>
      </c>
      <c r="W112" s="13">
        <f t="shared" si="55"/>
        <v>94.33215311570099</v>
      </c>
      <c r="X112" s="2">
        <f t="shared" si="40"/>
        <v>-259.23805222743505</v>
      </c>
      <c r="Y112" s="3">
        <f t="shared" si="41"/>
        <v>-74.128142684256716</v>
      </c>
      <c r="Z112" s="13">
        <f t="shared" si="42"/>
        <v>1.532221869490463</v>
      </c>
      <c r="AA112" s="2">
        <f t="shared" si="43"/>
        <v>0.65264699578563501</v>
      </c>
      <c r="AB112" s="3">
        <f t="shared" si="44"/>
        <v>0.57823377595534398</v>
      </c>
      <c r="AC112">
        <f t="shared" si="45"/>
        <v>3.7203436808318051E-2</v>
      </c>
      <c r="AD112" s="2">
        <f t="shared" si="46"/>
        <v>239186372.94967577</v>
      </c>
      <c r="AE112">
        <f t="shared" si="47"/>
        <v>-657317864.53306615</v>
      </c>
      <c r="AF112" s="3">
        <f t="shared" si="48"/>
        <v>-187957562.68169275</v>
      </c>
      <c r="AG112">
        <f t="shared" si="49"/>
        <v>-896504237.48274195</v>
      </c>
      <c r="AI112" s="2">
        <f t="shared" si="50"/>
        <v>-40758.942816802992</v>
      </c>
      <c r="AJ112" s="2">
        <f t="shared" si="51"/>
        <v>-19419.80251630241</v>
      </c>
      <c r="AK112">
        <f t="shared" si="52"/>
        <v>-427143935.63136852</v>
      </c>
      <c r="AO112" s="2">
        <f t="shared" si="53"/>
        <v>1654.5393593702418</v>
      </c>
      <c r="AP112" s="3">
        <f t="shared" si="54"/>
        <v>1385.8083365205625</v>
      </c>
    </row>
    <row r="113" spans="1:42" ht="14.65" thickBot="1" x14ac:dyDescent="0.5">
      <c r="A113" s="2">
        <v>0.70099999999999996</v>
      </c>
      <c r="B113" s="4">
        <f t="shared" si="56"/>
        <v>40000</v>
      </c>
      <c r="C113">
        <v>2.64848484848484</v>
      </c>
      <c r="D113" s="5">
        <f t="shared" si="32"/>
        <v>1</v>
      </c>
      <c r="F113" s="2">
        <v>389.97</v>
      </c>
      <c r="G113" s="3">
        <v>5.8511999999999995E-4</v>
      </c>
      <c r="H113">
        <v>1.8340657021836002E-2</v>
      </c>
      <c r="I113">
        <v>0.177647206543462</v>
      </c>
      <c r="J113">
        <v>0</v>
      </c>
      <c r="K113" s="13">
        <v>968.07579999999996</v>
      </c>
      <c r="L113">
        <f t="shared" si="33"/>
        <v>2563.9340884848402</v>
      </c>
      <c r="M113">
        <f t="shared" si="34"/>
        <v>1923.2186434332727</v>
      </c>
      <c r="N113" s="2">
        <f t="shared" si="35"/>
        <v>0.75183635697622853</v>
      </c>
      <c r="O113">
        <f t="shared" si="36"/>
        <v>1.8065833707899472</v>
      </c>
      <c r="P113" s="4">
        <f t="shared" si="37"/>
        <v>0.18502768491749363</v>
      </c>
      <c r="Q113">
        <f t="shared" si="31"/>
        <v>3.9793131080428532</v>
      </c>
      <c r="R113">
        <f t="shared" si="58"/>
        <v>-2.2027195638841279</v>
      </c>
      <c r="S113" s="3">
        <f t="shared" si="57"/>
        <v>-0.57689431137578595</v>
      </c>
      <c r="T113" s="2">
        <f t="shared" si="38"/>
        <v>2.7701478551025931E-2</v>
      </c>
      <c r="U113" s="3">
        <f t="shared" si="39"/>
        <v>1.8476978498722547E-2</v>
      </c>
      <c r="V113">
        <v>2.64848484848484</v>
      </c>
      <c r="W113" s="13">
        <f t="shared" si="55"/>
        <v>96.407186216058875</v>
      </c>
      <c r="X113" s="2">
        <f t="shared" si="40"/>
        <v>-281.94810417716837</v>
      </c>
      <c r="Y113" s="3">
        <f t="shared" si="41"/>
        <v>-87.687935329119469</v>
      </c>
      <c r="Z113" s="13">
        <f t="shared" si="42"/>
        <v>1.4992428850280441</v>
      </c>
      <c r="AA113" s="2">
        <f t="shared" si="43"/>
        <v>0.66700333213940477</v>
      </c>
      <c r="AB113" s="3">
        <f t="shared" si="44"/>
        <v>0.58823564342917534</v>
      </c>
      <c r="AC113">
        <f t="shared" si="45"/>
        <v>3.7601273234379756E-2</v>
      </c>
      <c r="AD113" s="2">
        <f t="shared" si="46"/>
        <v>247181671.11425915</v>
      </c>
      <c r="AE113">
        <f t="shared" si="47"/>
        <v>-722896355.48351693</v>
      </c>
      <c r="AF113" s="3">
        <f t="shared" si="48"/>
        <v>-224826086.53918353</v>
      </c>
      <c r="AG113">
        <f t="shared" si="49"/>
        <v>-970078026.59777617</v>
      </c>
      <c r="AI113" s="2">
        <f t="shared" si="50"/>
        <v>-44103.924065051615</v>
      </c>
      <c r="AJ113" s="2">
        <f t="shared" si="51"/>
        <v>-21459.505040715914</v>
      </c>
      <c r="AK113">
        <f t="shared" si="52"/>
        <v>-472007757.65344274</v>
      </c>
      <c r="AO113" s="2">
        <f t="shared" si="53"/>
        <v>1709.8457522055355</v>
      </c>
      <c r="AP113" s="3">
        <f t="shared" si="54"/>
        <v>1422.7118525007118</v>
      </c>
    </row>
    <row r="114" spans="1:42" ht="14.65" thickBot="1" x14ac:dyDescent="0.5">
      <c r="A114" s="2">
        <v>0.70099999999999996</v>
      </c>
      <c r="B114" s="4">
        <f t="shared" si="56"/>
        <v>40000</v>
      </c>
      <c r="C114">
        <v>2.67777777777777</v>
      </c>
      <c r="D114" s="5">
        <f t="shared" si="32"/>
        <v>1</v>
      </c>
      <c r="F114" s="2">
        <v>389.97</v>
      </c>
      <c r="G114" s="3">
        <v>5.8511999999999995E-4</v>
      </c>
      <c r="H114">
        <v>1.8336320815618999E-2</v>
      </c>
      <c r="I114">
        <v>0.179663466317172</v>
      </c>
      <c r="J114">
        <v>0</v>
      </c>
      <c r="K114" s="13">
        <v>968.07579999999996</v>
      </c>
      <c r="L114">
        <f t="shared" si="33"/>
        <v>2592.2918644444367</v>
      </c>
      <c r="M114">
        <f t="shared" si="34"/>
        <v>1965.9965034375855</v>
      </c>
      <c r="N114" s="2">
        <f t="shared" si="35"/>
        <v>0.75183635697622853</v>
      </c>
      <c r="O114">
        <f t="shared" si="36"/>
        <v>1.8300439483227982</v>
      </c>
      <c r="P114" s="4">
        <f t="shared" si="37"/>
        <v>0.18502768491749363</v>
      </c>
      <c r="Q114">
        <f t="shared" si="31"/>
        <v>4.1631341088147575</v>
      </c>
      <c r="R114">
        <f t="shared" si="58"/>
        <v>-2.3912788104374227</v>
      </c>
      <c r="S114" s="3">
        <f t="shared" si="57"/>
        <v>-0.67227225241274313</v>
      </c>
      <c r="T114" s="2">
        <f t="shared" si="38"/>
        <v>2.7098725713319331E-2</v>
      </c>
      <c r="U114" s="3">
        <f t="shared" si="39"/>
        <v>1.8468255053511025E-2</v>
      </c>
      <c r="V114">
        <v>2.67777777777777</v>
      </c>
      <c r="W114" s="13">
        <f t="shared" si="55"/>
        <v>98.505027944627074</v>
      </c>
      <c r="X114" s="2">
        <f t="shared" si="40"/>
        <v>-306.08368773599011</v>
      </c>
      <c r="Y114" s="3">
        <f t="shared" si="41"/>
        <v>-102.18538236673696</v>
      </c>
      <c r="Z114" s="13">
        <f t="shared" si="42"/>
        <v>1.4673138114457411</v>
      </c>
      <c r="AA114" s="2">
        <f t="shared" si="43"/>
        <v>0.68151747240401295</v>
      </c>
      <c r="AB114" s="3">
        <f t="shared" si="44"/>
        <v>0.59821358497639532</v>
      </c>
      <c r="AC114">
        <f t="shared" si="45"/>
        <v>3.7999204216049201E-2</v>
      </c>
      <c r="AD114" s="2">
        <f t="shared" si="46"/>
        <v>255353782.54772866</v>
      </c>
      <c r="AE114">
        <f t="shared" si="47"/>
        <v>-793458253.55715847</v>
      </c>
      <c r="AF114" s="3">
        <f t="shared" si="48"/>
        <v>-264894335.37443623</v>
      </c>
      <c r="AG114">
        <f t="shared" si="49"/>
        <v>-1048812036.1048871</v>
      </c>
      <c r="AI114" s="2">
        <f t="shared" si="50"/>
        <v>-47683.511151275212</v>
      </c>
      <c r="AJ114" s="2">
        <f t="shared" si="51"/>
        <v>-23652.719532568968</v>
      </c>
      <c r="AK114">
        <f t="shared" si="52"/>
        <v>-520248117.92216492</v>
      </c>
      <c r="AO114" s="2">
        <f t="shared" si="53"/>
        <v>1766.3752268954656</v>
      </c>
      <c r="AP114" s="3">
        <f t="shared" si="54"/>
        <v>1459.8937023328683</v>
      </c>
    </row>
    <row r="115" spans="1:42" ht="14.65" thickBot="1" x14ac:dyDescent="0.5">
      <c r="A115" s="2">
        <v>0.70099999999999996</v>
      </c>
      <c r="B115" s="4">
        <f t="shared" si="56"/>
        <v>40000</v>
      </c>
      <c r="C115">
        <v>2.7070707070707001</v>
      </c>
      <c r="D115" s="5">
        <f t="shared" si="32"/>
        <v>1</v>
      </c>
      <c r="F115" s="2">
        <v>389.97</v>
      </c>
      <c r="G115" s="3">
        <v>5.8511999999999995E-4</v>
      </c>
      <c r="H115">
        <v>1.8332030812241999E-2</v>
      </c>
      <c r="I115">
        <v>0.18167695944937301</v>
      </c>
      <c r="J115">
        <v>0</v>
      </c>
      <c r="K115" s="13">
        <v>968.07579999999996</v>
      </c>
      <c r="L115">
        <f t="shared" si="33"/>
        <v>2620.6496404040336</v>
      </c>
      <c r="M115">
        <f t="shared" si="34"/>
        <v>2009.2448955640787</v>
      </c>
      <c r="N115" s="2">
        <f t="shared" si="35"/>
        <v>0.75183635697622853</v>
      </c>
      <c r="O115">
        <f t="shared" si="36"/>
        <v>1.8537625788609411</v>
      </c>
      <c r="P115" s="4">
        <f t="shared" si="37"/>
        <v>0.18502768491749363</v>
      </c>
      <c r="Q115">
        <f t="shared" si="31"/>
        <v>4.3550633002773935</v>
      </c>
      <c r="R115">
        <f t="shared" si="58"/>
        <v>-2.5915562882274612</v>
      </c>
      <c r="S115" s="3">
        <f t="shared" si="57"/>
        <v>-0.77413988405812351</v>
      </c>
      <c r="T115" s="2">
        <f t="shared" si="38"/>
        <v>2.6515433791878918E-2</v>
      </c>
      <c r="U115" s="3">
        <f t="shared" si="39"/>
        <v>1.8459762110403333E-2</v>
      </c>
      <c r="V115">
        <v>2.7070707070707001</v>
      </c>
      <c r="W115" s="13">
        <f t="shared" si="55"/>
        <v>100.62566591918625</v>
      </c>
      <c r="X115" s="2">
        <f t="shared" si="40"/>
        <v>-331.71920489311503</v>
      </c>
      <c r="Y115" s="3">
        <f t="shared" si="41"/>
        <v>-117.66926237683477</v>
      </c>
      <c r="Z115" s="13">
        <f t="shared" si="42"/>
        <v>1.4363908718485416</v>
      </c>
      <c r="AA115" s="2">
        <f t="shared" si="43"/>
        <v>0.69618933091176294</v>
      </c>
      <c r="AB115" s="3">
        <f t="shared" si="44"/>
        <v>0.60816388720127279</v>
      </c>
      <c r="AC115">
        <f t="shared" si="45"/>
        <v>3.8397221958930944E-2</v>
      </c>
      <c r="AD115" s="2">
        <f t="shared" si="46"/>
        <v>263704615.20653182</v>
      </c>
      <c r="AE115">
        <f t="shared" si="47"/>
        <v>-869319815.01825392</v>
      </c>
      <c r="AF115" s="3">
        <f t="shared" si="48"/>
        <v>-308369910.13445991</v>
      </c>
      <c r="AG115">
        <f t="shared" si="49"/>
        <v>-1133024430.2247858</v>
      </c>
      <c r="AI115" s="2">
        <f t="shared" si="50"/>
        <v>-51512.169190903391</v>
      </c>
      <c r="AJ115" s="2">
        <f t="shared" si="51"/>
        <v>-26008.971168719167</v>
      </c>
      <c r="AK115">
        <f t="shared" si="52"/>
        <v>-572074525.34099174</v>
      </c>
      <c r="AO115" s="2">
        <f t="shared" si="53"/>
        <v>1824.1409814705028</v>
      </c>
      <c r="AP115" s="3">
        <f t="shared" si="54"/>
        <v>1497.33838570689</v>
      </c>
    </row>
    <row r="116" spans="1:42" ht="14.65" thickBot="1" x14ac:dyDescent="0.5">
      <c r="A116" s="2">
        <v>0.70099999999999996</v>
      </c>
      <c r="B116" s="4">
        <f t="shared" si="56"/>
        <v>40000</v>
      </c>
      <c r="C116">
        <v>2.7363636363636301</v>
      </c>
      <c r="D116" s="5">
        <f t="shared" si="32"/>
        <v>1</v>
      </c>
      <c r="F116" s="2">
        <v>389.97</v>
      </c>
      <c r="G116" s="3">
        <v>5.8511999999999995E-4</v>
      </c>
      <c r="H116">
        <v>1.8327785565551001E-2</v>
      </c>
      <c r="I116">
        <v>0.183687781283775</v>
      </c>
      <c r="J116">
        <v>0</v>
      </c>
      <c r="K116" s="13">
        <v>968.07579999999996</v>
      </c>
      <c r="L116">
        <f t="shared" si="33"/>
        <v>2649.00741636363</v>
      </c>
      <c r="M116">
        <f t="shared" si="34"/>
        <v>2052.9638198127495</v>
      </c>
      <c r="N116" s="2">
        <f t="shared" si="35"/>
        <v>0.75183635697622853</v>
      </c>
      <c r="O116">
        <f t="shared" si="36"/>
        <v>1.8777392624043765</v>
      </c>
      <c r="P116" s="4">
        <f t="shared" si="37"/>
        <v>0.18502768491749363</v>
      </c>
      <c r="Q116">
        <f t="shared" si="31"/>
        <v>4.5554217242849262</v>
      </c>
      <c r="R116">
        <f t="shared" si="58"/>
        <v>-2.8041585266600215</v>
      </c>
      <c r="S116" s="3">
        <f t="shared" si="57"/>
        <v>-0.88283121974701906</v>
      </c>
      <c r="T116" s="2">
        <f t="shared" si="38"/>
        <v>2.5950773942455204E-2</v>
      </c>
      <c r="U116" s="3">
        <f t="shared" si="39"/>
        <v>1.8451488755096765E-2</v>
      </c>
      <c r="V116">
        <v>2.7363636363636301</v>
      </c>
      <c r="W116" s="13">
        <f t="shared" si="55"/>
        <v>102.76908796178435</v>
      </c>
      <c r="X116" s="2">
        <f t="shared" si="40"/>
        <v>-358.93229141248275</v>
      </c>
      <c r="Y116" s="3">
        <f t="shared" si="41"/>
        <v>-134.19034540154689</v>
      </c>
      <c r="Z116" s="13">
        <f t="shared" si="42"/>
        <v>1.4064325262256656</v>
      </c>
      <c r="AA116" s="2">
        <f t="shared" si="43"/>
        <v>0.71101882340820344</v>
      </c>
      <c r="AB116" s="3">
        <f t="shared" si="44"/>
        <v>0.61808293018444616</v>
      </c>
      <c r="AC116">
        <f t="shared" si="45"/>
        <v>3.8795319079498271E-2</v>
      </c>
      <c r="AD116" s="2">
        <f t="shared" si="46"/>
        <v>272236076.18369299</v>
      </c>
      <c r="AE116">
        <f t="shared" si="47"/>
        <v>-950814301.92405844</v>
      </c>
      <c r="AF116" s="3">
        <f t="shared" si="48"/>
        <v>-355471220.17309481</v>
      </c>
      <c r="AG116">
        <f t="shared" si="49"/>
        <v>-1223050378.1077514</v>
      </c>
      <c r="AI116" s="2">
        <f t="shared" si="50"/>
        <v>-55605.136416683978</v>
      </c>
      <c r="AJ116" s="2">
        <f t="shared" si="51"/>
        <v>-28538.276483482696</v>
      </c>
      <c r="AK116">
        <f t="shared" si="52"/>
        <v>-627707296.3567878</v>
      </c>
      <c r="AO116" s="2">
        <f t="shared" si="53"/>
        <v>1883.156207988505</v>
      </c>
      <c r="AP116" s="3">
        <f t="shared" si="54"/>
        <v>1535.030478484892</v>
      </c>
    </row>
    <row r="117" spans="1:42" ht="14.65" thickBot="1" x14ac:dyDescent="0.5">
      <c r="A117" s="2">
        <v>0.70099999999999996</v>
      </c>
      <c r="B117" s="4">
        <f t="shared" si="56"/>
        <v>40000</v>
      </c>
      <c r="C117">
        <v>2.7656565656565602</v>
      </c>
      <c r="D117" s="5">
        <f t="shared" si="32"/>
        <v>1</v>
      </c>
      <c r="F117" s="2">
        <v>389.97</v>
      </c>
      <c r="G117" s="3">
        <v>5.8511999999999995E-4</v>
      </c>
      <c r="H117">
        <v>1.8323583703295999E-2</v>
      </c>
      <c r="I117">
        <v>0.18569602279974301</v>
      </c>
      <c r="J117">
        <v>0</v>
      </c>
      <c r="K117" s="13">
        <v>968.07579999999996</v>
      </c>
      <c r="L117">
        <f t="shared" si="33"/>
        <v>2677.3651923232269</v>
      </c>
      <c r="M117">
        <f t="shared" si="34"/>
        <v>2097.1532761836006</v>
      </c>
      <c r="N117" s="2">
        <f t="shared" si="35"/>
        <v>0.75183635697622853</v>
      </c>
      <c r="O117">
        <f t="shared" si="36"/>
        <v>1.9019739989531042</v>
      </c>
      <c r="P117" s="4">
        <f t="shared" si="37"/>
        <v>0.18502768491749363</v>
      </c>
      <c r="Q117">
        <f t="shared" si="31"/>
        <v>4.7645413227297135</v>
      </c>
      <c r="R117">
        <f t="shared" si="58"/>
        <v>-3.0297182107886989</v>
      </c>
      <c r="S117" s="3">
        <f t="shared" si="57"/>
        <v>-0.9986937838184331</v>
      </c>
      <c r="T117" s="2">
        <f t="shared" si="38"/>
        <v>2.5403960981312559E-2</v>
      </c>
      <c r="U117" s="3">
        <f t="shared" si="39"/>
        <v>1.8443424717633522E-2</v>
      </c>
      <c r="V117">
        <v>2.7656565656565602</v>
      </c>
      <c r="W117" s="13">
        <f t="shared" si="55"/>
        <v>104.9352820921212</v>
      </c>
      <c r="X117" s="2">
        <f t="shared" si="40"/>
        <v>-387.80393098095345</v>
      </c>
      <c r="Y117" s="3">
        <f t="shared" si="41"/>
        <v>-151.80145514040186</v>
      </c>
      <c r="Z117" s="13">
        <f t="shared" si="42"/>
        <v>1.3773993371753868</v>
      </c>
      <c r="AA117" s="2">
        <f t="shared" si="43"/>
        <v>0.72600586700635839</v>
      </c>
      <c r="AB117" s="3">
        <f t="shared" si="44"/>
        <v>0.62796719188767436</v>
      </c>
      <c r="AC117">
        <f t="shared" si="45"/>
        <v>3.9193488580863273E-2</v>
      </c>
      <c r="AD117" s="2">
        <f t="shared" si="46"/>
        <v>280950071.72006416</v>
      </c>
      <c r="AE117">
        <f t="shared" si="47"/>
        <v>-1038292746.2545239</v>
      </c>
      <c r="AF117" s="3">
        <f t="shared" si="48"/>
        <v>-406427932.13692772</v>
      </c>
      <c r="AG117">
        <f t="shared" si="49"/>
        <v>-1319242817.9745879</v>
      </c>
      <c r="AI117" s="2">
        <f t="shared" si="50"/>
        <v>-59978.458919821198</v>
      </c>
      <c r="AJ117" s="2">
        <f t="shared" si="51"/>
        <v>-31251.163777432394</v>
      </c>
      <c r="AK117">
        <f t="shared" si="52"/>
        <v>-687378003.85699177</v>
      </c>
      <c r="AO117" s="2">
        <f t="shared" si="53"/>
        <v>1943.4340926125431</v>
      </c>
      <c r="AP117" s="3">
        <f t="shared" si="54"/>
        <v>1572.9546661044262</v>
      </c>
    </row>
    <row r="118" spans="1:42" ht="14.65" thickBot="1" x14ac:dyDescent="0.5">
      <c r="A118" s="2">
        <v>0.70099999999999996</v>
      </c>
      <c r="B118" s="4">
        <f t="shared" si="56"/>
        <v>40000</v>
      </c>
      <c r="C118">
        <v>2.7949494949494902</v>
      </c>
      <c r="D118" s="5">
        <f t="shared" si="32"/>
        <v>1</v>
      </c>
      <c r="F118" s="2">
        <v>389.97</v>
      </c>
      <c r="G118" s="3">
        <v>5.8511999999999995E-4</v>
      </c>
      <c r="H118">
        <v>1.8319423921946E-2</v>
      </c>
      <c r="I118">
        <v>0.187701770858656</v>
      </c>
      <c r="J118">
        <v>0</v>
      </c>
      <c r="K118" s="13">
        <v>968.07579999999996</v>
      </c>
      <c r="L118">
        <f t="shared" si="33"/>
        <v>2705.7229682828233</v>
      </c>
      <c r="M118">
        <f t="shared" si="34"/>
        <v>2141.8132646766298</v>
      </c>
      <c r="N118" s="2">
        <f t="shared" si="35"/>
        <v>0.75183635697622853</v>
      </c>
      <c r="O118">
        <f t="shared" si="36"/>
        <v>1.9264667885071234</v>
      </c>
      <c r="P118" s="4">
        <f t="shared" si="37"/>
        <v>0.18502768491749363</v>
      </c>
      <c r="Q118">
        <f t="shared" si="31"/>
        <v>4.9827652338286175</v>
      </c>
      <c r="R118">
        <f t="shared" si="58"/>
        <v>-3.2688950971943158</v>
      </c>
      <c r="S118" s="3">
        <f t="shared" si="57"/>
        <v>-1.1220890295680586</v>
      </c>
      <c r="T118" s="2">
        <f t="shared" si="38"/>
        <v>2.4874250654173435E-2</v>
      </c>
      <c r="U118" s="3">
        <f t="shared" si="39"/>
        <v>1.8435560328096814E-2</v>
      </c>
      <c r="V118">
        <v>2.7949494949494902</v>
      </c>
      <c r="W118" s="13">
        <f t="shared" si="55"/>
        <v>107.12423652113483</v>
      </c>
      <c r="X118" s="2">
        <f t="shared" si="40"/>
        <v>-418.41857244087242</v>
      </c>
      <c r="Y118" s="3">
        <f t="shared" si="41"/>
        <v>-170.55753249434488</v>
      </c>
      <c r="Z118" s="13">
        <f t="shared" si="42"/>
        <v>1.3492538448242173</v>
      </c>
      <c r="AA118" s="2">
        <f t="shared" si="43"/>
        <v>0.74115038014235302</v>
      </c>
      <c r="AB118" s="3">
        <f t="shared" si="44"/>
        <v>0.63781325218491347</v>
      </c>
      <c r="AC118">
        <f t="shared" si="45"/>
        <v>3.9591723830145413E-2</v>
      </c>
      <c r="AD118" s="2">
        <f t="shared" si="46"/>
        <v>289848507.21499616</v>
      </c>
      <c r="AE118">
        <f t="shared" si="47"/>
        <v>-1132124741.8093789</v>
      </c>
      <c r="AF118" s="3">
        <f t="shared" si="48"/>
        <v>-461481433.08359289</v>
      </c>
      <c r="AG118">
        <f t="shared" si="49"/>
        <v>-1421973249.0243752</v>
      </c>
      <c r="AI118" s="2">
        <f t="shared" si="50"/>
        <v>-64649.026653511813</v>
      </c>
      <c r="AJ118" s="2">
        <f t="shared" si="51"/>
        <v>-34158.694173234973</v>
      </c>
      <c r="AK118">
        <f t="shared" si="52"/>
        <v>-751329940.29858911</v>
      </c>
      <c r="AO118" s="2">
        <f t="shared" si="53"/>
        <v>2004.9878156847176</v>
      </c>
      <c r="AP118" s="3">
        <f t="shared" si="54"/>
        <v>1611.0957755809131</v>
      </c>
    </row>
    <row r="119" spans="1:42" ht="14.65" thickBot="1" x14ac:dyDescent="0.5">
      <c r="A119" s="2">
        <v>0.70099999999999996</v>
      </c>
      <c r="B119" s="4">
        <f t="shared" si="56"/>
        <v>40000</v>
      </c>
      <c r="C119">
        <v>2.8242424242424198</v>
      </c>
      <c r="D119" s="5">
        <f t="shared" si="32"/>
        <v>1</v>
      </c>
      <c r="F119" s="2">
        <v>389.97</v>
      </c>
      <c r="G119" s="3">
        <v>5.8511999999999995E-4</v>
      </c>
      <c r="H119">
        <v>1.8315304981969999E-2</v>
      </c>
      <c r="I119">
        <v>0.18970510843401001</v>
      </c>
      <c r="J119">
        <v>0</v>
      </c>
      <c r="K119" s="13">
        <v>968.07579999999996</v>
      </c>
      <c r="L119">
        <f t="shared" si="33"/>
        <v>2734.0807442424198</v>
      </c>
      <c r="M119">
        <f t="shared" si="34"/>
        <v>2186.9437852918381</v>
      </c>
      <c r="N119" s="2">
        <f t="shared" si="35"/>
        <v>0.75183635697622853</v>
      </c>
      <c r="O119">
        <f t="shared" si="36"/>
        <v>1.9512176310664349</v>
      </c>
      <c r="P119" s="4">
        <f t="shared" si="37"/>
        <v>0.18502768491749363</v>
      </c>
      <c r="Q119">
        <f t="shared" si="31"/>
        <v>5.2104480941877851</v>
      </c>
      <c r="R119">
        <f t="shared" si="58"/>
        <v>-3.5223769544082453</v>
      </c>
      <c r="S119" s="3">
        <f t="shared" si="57"/>
        <v>-1.2533927662824964</v>
      </c>
      <c r="T119" s="2">
        <f t="shared" si="38"/>
        <v>2.4360937102409583E-2</v>
      </c>
      <c r="U119" s="3">
        <f t="shared" si="39"/>
        <v>1.8427886475756498E-2</v>
      </c>
      <c r="V119">
        <v>2.8242424242424198</v>
      </c>
      <c r="W119" s="13">
        <f t="shared" si="55"/>
        <v>109.33593964484666</v>
      </c>
      <c r="X119" s="2">
        <f t="shared" si="40"/>
        <v>-450.8642501642554</v>
      </c>
      <c r="Y119" s="3">
        <f t="shared" si="41"/>
        <v>-190.51570047493945</v>
      </c>
      <c r="Z119" s="13">
        <f t="shared" si="42"/>
        <v>1.3219604502371194</v>
      </c>
      <c r="AA119" s="2">
        <f t="shared" si="43"/>
        <v>0.75645228253283259</v>
      </c>
      <c r="AB119" s="3">
        <f t="shared" si="44"/>
        <v>0.64761779651130169</v>
      </c>
      <c r="AC119">
        <f t="shared" si="45"/>
        <v>3.9990018537342908E-2</v>
      </c>
      <c r="AD119" s="2">
        <f t="shared" si="46"/>
        <v>298933287.23662668</v>
      </c>
      <c r="AE119">
        <f t="shared" si="47"/>
        <v>-1232699264.6413879</v>
      </c>
      <c r="AF119" s="3">
        <f t="shared" si="48"/>
        <v>-520885308.14438838</v>
      </c>
      <c r="AG119">
        <f t="shared" si="49"/>
        <v>-1531632551.8780148</v>
      </c>
      <c r="AI119" s="2">
        <f t="shared" si="50"/>
        <v>-69634.6107338414</v>
      </c>
      <c r="AJ119" s="2">
        <f t="shared" si="51"/>
        <v>-37272.48333271798</v>
      </c>
      <c r="AK119">
        <f t="shared" si="52"/>
        <v>-819818595.38101506</v>
      </c>
      <c r="AO119" s="2">
        <f t="shared" si="53"/>
        <v>2067.8305517973249</v>
      </c>
      <c r="AP119" s="3">
        <f t="shared" si="54"/>
        <v>1649.4388059917285</v>
      </c>
    </row>
    <row r="120" spans="1:42" ht="14.65" thickBot="1" x14ac:dyDescent="0.5">
      <c r="A120" s="2">
        <v>0.70099999999999996</v>
      </c>
      <c r="B120" s="4">
        <f t="shared" si="56"/>
        <v>40000</v>
      </c>
      <c r="C120">
        <v>2.8535353535353498</v>
      </c>
      <c r="D120" s="5">
        <f t="shared" si="32"/>
        <v>1</v>
      </c>
      <c r="F120" s="2">
        <v>389.97</v>
      </c>
      <c r="G120" s="3">
        <v>5.8511999999999995E-4</v>
      </c>
      <c r="H120">
        <v>1.8311225703518001E-2</v>
      </c>
      <c r="I120">
        <v>0.191706114826483</v>
      </c>
      <c r="J120">
        <v>0</v>
      </c>
      <c r="K120" s="13">
        <v>968.07579999999996</v>
      </c>
      <c r="L120">
        <f t="shared" si="33"/>
        <v>2762.4385202020167</v>
      </c>
      <c r="M120">
        <f t="shared" si="34"/>
        <v>2232.5448380292264</v>
      </c>
      <c r="N120" s="2">
        <f t="shared" si="35"/>
        <v>0.75183635697622853</v>
      </c>
      <c r="O120">
        <f t="shared" si="36"/>
        <v>1.9762265266310388</v>
      </c>
      <c r="P120" s="4">
        <f t="shared" si="37"/>
        <v>0.18502768491749363</v>
      </c>
      <c r="Q120">
        <f t="shared" si="31"/>
        <v>5.4479563467071142</v>
      </c>
      <c r="R120">
        <f t="shared" si="58"/>
        <v>-3.7908805283312175</v>
      </c>
      <c r="S120" s="3">
        <f t="shared" si="57"/>
        <v>-1.3929955953612312</v>
      </c>
      <c r="T120" s="2">
        <f t="shared" si="38"/>
        <v>2.3863350510366123E-2</v>
      </c>
      <c r="U120" s="3">
        <f t="shared" si="39"/>
        <v>1.8420394571350217E-2</v>
      </c>
      <c r="V120">
        <v>2.8535353535353498</v>
      </c>
      <c r="W120" s="13">
        <f t="shared" si="55"/>
        <v>111.57038003836115</v>
      </c>
      <c r="X120" s="2">
        <f t="shared" si="40"/>
        <v>-485.23270762639584</v>
      </c>
      <c r="Y120" s="3">
        <f t="shared" si="41"/>
        <v>-211.73533049490715</v>
      </c>
      <c r="Z120" s="13">
        <f t="shared" si="42"/>
        <v>1.2954853066764105</v>
      </c>
      <c r="AA120" s="2">
        <f t="shared" si="43"/>
        <v>0.77191149513344692</v>
      </c>
      <c r="AB120" s="3">
        <f t="shared" si="44"/>
        <v>0.65737761912359116</v>
      </c>
      <c r="AC120">
        <f t="shared" si="45"/>
        <v>4.0388366735561607E-2</v>
      </c>
      <c r="AD120" s="2">
        <f t="shared" si="46"/>
        <v>308206315.53154701</v>
      </c>
      <c r="AE120">
        <f t="shared" si="47"/>
        <v>-1340425522.8090787</v>
      </c>
      <c r="AF120" s="3">
        <f t="shared" si="48"/>
        <v>-584905833.04683614</v>
      </c>
      <c r="AG120">
        <f t="shared" si="49"/>
        <v>-1648631838.3406258</v>
      </c>
      <c r="AI120" s="2">
        <f t="shared" si="50"/>
        <v>-74953.902073641802</v>
      </c>
      <c r="AJ120" s="2">
        <f t="shared" si="51"/>
        <v>-40604.723849505659</v>
      </c>
      <c r="AK120">
        <f t="shared" si="52"/>
        <v>-893112148.57838321</v>
      </c>
      <c r="AO120" s="2">
        <f t="shared" si="53"/>
        <v>2131.9754698597249</v>
      </c>
      <c r="AP120" s="3">
        <f t="shared" si="54"/>
        <v>1687.9689573378034</v>
      </c>
    </row>
    <row r="121" spans="1:42" ht="14.65" thickBot="1" x14ac:dyDescent="0.5">
      <c r="A121" s="2">
        <v>0.70099999999999996</v>
      </c>
      <c r="B121" s="4">
        <f t="shared" si="56"/>
        <v>40000</v>
      </c>
      <c r="C121">
        <v>2.8828282828282799</v>
      </c>
      <c r="D121" s="5">
        <f t="shared" si="32"/>
        <v>1</v>
      </c>
      <c r="F121" s="2">
        <v>389.97</v>
      </c>
      <c r="G121" s="3">
        <v>5.8511999999999995E-4</v>
      </c>
      <c r="H121">
        <v>1.8307184962479E-2</v>
      </c>
      <c r="I121">
        <v>0.19370486586504401</v>
      </c>
      <c r="J121">
        <v>0</v>
      </c>
      <c r="K121" s="13">
        <v>968.07579999999996</v>
      </c>
      <c r="L121">
        <f t="shared" si="33"/>
        <v>2790.7962961616131</v>
      </c>
      <c r="M121">
        <f t="shared" si="34"/>
        <v>2278.6164228887928</v>
      </c>
      <c r="N121" s="2">
        <f t="shared" si="35"/>
        <v>0.75183635697622853</v>
      </c>
      <c r="O121">
        <f t="shared" si="36"/>
        <v>2.0014934752009346</v>
      </c>
      <c r="P121" s="4">
        <f t="shared" si="37"/>
        <v>0.18502768491749363</v>
      </c>
      <c r="Q121">
        <f t="shared" si="31"/>
        <v>5.6956685543857111</v>
      </c>
      <c r="R121">
        <f t="shared" si="58"/>
        <v>-4.0751525331035419</v>
      </c>
      <c r="S121" s="3">
        <f t="shared" si="57"/>
        <v>-1.5413033556329359</v>
      </c>
      <c r="T121" s="2">
        <f t="shared" si="38"/>
        <v>2.338085491916957E-2</v>
      </c>
      <c r="U121" s="3">
        <f t="shared" si="39"/>
        <v>1.8413076512250801E-2</v>
      </c>
      <c r="V121">
        <v>2.8828282828282799</v>
      </c>
      <c r="W121" s="13">
        <f t="shared" si="55"/>
        <v>113.82754645012832</v>
      </c>
      <c r="X121" s="2">
        <f t="shared" si="40"/>
        <v>-521.61952423725336</v>
      </c>
      <c r="Y121" s="3">
        <f t="shared" si="41"/>
        <v>-234.27811005620626</v>
      </c>
      <c r="Z121" s="13">
        <f t="shared" si="42"/>
        <v>1.2697962181177898</v>
      </c>
      <c r="AA121" s="2">
        <f t="shared" si="43"/>
        <v>0.78752794009915472</v>
      </c>
      <c r="AB121" s="3">
        <f t="shared" si="44"/>
        <v>0.66708962596917953</v>
      </c>
      <c r="AC121">
        <f t="shared" si="45"/>
        <v>4.0786762762543331E-2</v>
      </c>
      <c r="AD121" s="2">
        <f t="shared" si="46"/>
        <v>317669495.03418207</v>
      </c>
      <c r="AE121">
        <f t="shared" si="47"/>
        <v>-1455733836.2469094</v>
      </c>
      <c r="AF121" s="3">
        <f t="shared" si="48"/>
        <v>-653822481.81660318</v>
      </c>
      <c r="AG121">
        <f t="shared" si="49"/>
        <v>-1773403331.2810915</v>
      </c>
      <c r="AI121" s="2">
        <f t="shared" si="50"/>
        <v>-80626.551385603903</v>
      </c>
      <c r="AJ121" s="2">
        <f t="shared" si="51"/>
        <v>-44168.208331760747</v>
      </c>
      <c r="AK121">
        <f t="shared" si="52"/>
        <v>-971491976.85078537</v>
      </c>
      <c r="AO121" s="2">
        <f t="shared" si="53"/>
        <v>2197.4357331632268</v>
      </c>
      <c r="AP121" s="3">
        <f t="shared" si="54"/>
        <v>1726.6716576961383</v>
      </c>
    </row>
    <row r="122" spans="1:42" ht="14.65" thickBot="1" x14ac:dyDescent="0.5">
      <c r="A122" s="2">
        <v>0.70099999999999996</v>
      </c>
      <c r="B122" s="4">
        <f t="shared" si="56"/>
        <v>40000</v>
      </c>
      <c r="C122">
        <v>2.9121212121212099</v>
      </c>
      <c r="D122" s="5">
        <f t="shared" si="32"/>
        <v>1</v>
      </c>
      <c r="F122" s="2">
        <v>389.97</v>
      </c>
      <c r="G122" s="3">
        <v>5.8511999999999995E-4</v>
      </c>
      <c r="H122">
        <v>1.8303181686857999E-2</v>
      </c>
      <c r="I122">
        <v>0.195701434095127</v>
      </c>
      <c r="J122">
        <v>0</v>
      </c>
      <c r="K122" s="13">
        <v>968.07579999999996</v>
      </c>
      <c r="L122">
        <f t="shared" si="33"/>
        <v>2819.15407212121</v>
      </c>
      <c r="M122">
        <f t="shared" si="34"/>
        <v>2325.1585398705397</v>
      </c>
      <c r="N122" s="2">
        <f t="shared" si="35"/>
        <v>0.75183635697622853</v>
      </c>
      <c r="O122">
        <f t="shared" si="36"/>
        <v>2.027018476776123</v>
      </c>
      <c r="P122" s="4">
        <f t="shared" si="37"/>
        <v>0.18502768491749363</v>
      </c>
      <c r="Q122">
        <f t="shared" si="31"/>
        <v>5.9539757200895913</v>
      </c>
      <c r="R122">
        <f t="shared" si="58"/>
        <v>-4.3759706678869561</v>
      </c>
      <c r="S122" s="3">
        <f t="shared" si="57"/>
        <v>-1.6987375779727223</v>
      </c>
      <c r="T122" s="2">
        <f t="shared" si="38"/>
        <v>2.2912846193690647E-2</v>
      </c>
      <c r="U122" s="3">
        <f t="shared" si="39"/>
        <v>1.8405924650255971E-2</v>
      </c>
      <c r="V122">
        <v>2.9121212121212099</v>
      </c>
      <c r="W122" s="13">
        <f t="shared" si="55"/>
        <v>116.10742779634397</v>
      </c>
      <c r="X122" s="2">
        <f t="shared" si="40"/>
        <v>-560.12424548953038</v>
      </c>
      <c r="Y122" s="3">
        <f t="shared" si="41"/>
        <v>-258.2081118518538</v>
      </c>
      <c r="Z122" s="13">
        <f t="shared" si="42"/>
        <v>1.2448625444835775</v>
      </c>
      <c r="AA122" s="2">
        <f t="shared" si="43"/>
        <v>0.80330154074548288</v>
      </c>
      <c r="AB122" s="3">
        <f t="shared" si="44"/>
        <v>0.67675083716241469</v>
      </c>
      <c r="AC122">
        <f t="shared" si="45"/>
        <v>4.1185201243357908E-2</v>
      </c>
      <c r="AD122" s="2">
        <f t="shared" si="46"/>
        <v>327324727.87558246</v>
      </c>
      <c r="AE122">
        <f t="shared" si="47"/>
        <v>-1579076547.56563</v>
      </c>
      <c r="AF122" s="3">
        <f t="shared" si="48"/>
        <v>-727928449.98188245</v>
      </c>
      <c r="AG122">
        <f t="shared" si="49"/>
        <v>-1906401275.4412122</v>
      </c>
      <c r="AI122" s="2">
        <f t="shared" si="50"/>
        <v>-86673.210591583469</v>
      </c>
      <c r="AJ122" s="2">
        <f t="shared" si="51"/>
        <v>-47976.353189708185</v>
      </c>
      <c r="AK122">
        <f t="shared" si="52"/>
        <v>-1055253177.8574649</v>
      </c>
      <c r="AO122" s="2">
        <f t="shared" si="53"/>
        <v>2264.224499441907</v>
      </c>
      <c r="AP122" s="3">
        <f t="shared" si="54"/>
        <v>1765.5325885898894</v>
      </c>
    </row>
    <row r="123" spans="1:42" ht="14.65" thickBot="1" x14ac:dyDescent="0.5">
      <c r="A123" s="2">
        <v>0.70099999999999996</v>
      </c>
      <c r="B123" s="4">
        <f t="shared" si="56"/>
        <v>40000</v>
      </c>
      <c r="C123">
        <v>2.9414141414141399</v>
      </c>
      <c r="D123" s="5">
        <f t="shared" si="32"/>
        <v>1</v>
      </c>
      <c r="F123" s="2">
        <v>389.97</v>
      </c>
      <c r="G123" s="3">
        <v>5.8511999999999995E-4</v>
      </c>
      <c r="H123">
        <v>1.8299214853457001E-2</v>
      </c>
      <c r="I123">
        <v>0.197695888954799</v>
      </c>
      <c r="J123">
        <v>0</v>
      </c>
      <c r="K123" s="13">
        <v>968.07579999999996</v>
      </c>
      <c r="L123">
        <f t="shared" si="33"/>
        <v>2847.5118480808064</v>
      </c>
      <c r="M123">
        <f t="shared" si="34"/>
        <v>2372.1711889744638</v>
      </c>
      <c r="N123" s="2">
        <f t="shared" si="35"/>
        <v>0.75183635697622853</v>
      </c>
      <c r="O123">
        <f t="shared" si="36"/>
        <v>2.0528015313566028</v>
      </c>
      <c r="P123" s="4">
        <f t="shared" si="37"/>
        <v>0.18502768491749363</v>
      </c>
      <c r="Q123">
        <f t="shared" si="31"/>
        <v>6.2232816123429222</v>
      </c>
      <c r="R123">
        <f t="shared" si="58"/>
        <v>-4.6941446600225811</v>
      </c>
      <c r="S123" s="3">
        <f t="shared" si="57"/>
        <v>-1.8657359493271883</v>
      </c>
      <c r="T123" s="2">
        <f t="shared" si="38"/>
        <v>2.2458750130521673E-2</v>
      </c>
      <c r="U123" s="3">
        <f t="shared" si="39"/>
        <v>1.8398931761797438E-2</v>
      </c>
      <c r="V123">
        <v>2.9414141414141399</v>
      </c>
      <c r="W123" s="13">
        <f t="shared" si="55"/>
        <v>118.41001315558842</v>
      </c>
      <c r="X123" s="2">
        <f t="shared" si="40"/>
        <v>-600.85051648289038</v>
      </c>
      <c r="Y123" s="3">
        <f t="shared" si="41"/>
        <v>-283.59186429773263</v>
      </c>
      <c r="Z123" s="13">
        <f t="shared" si="42"/>
        <v>1.2206551130948713</v>
      </c>
      <c r="AA123" s="2">
        <f t="shared" si="43"/>
        <v>0.81923222151143227</v>
      </c>
      <c r="AB123" s="3">
        <f t="shared" si="44"/>
        <v>0.68635838907030577</v>
      </c>
      <c r="AC123">
        <f t="shared" si="45"/>
        <v>4.1583677074213246E-2</v>
      </c>
      <c r="AD123" s="2">
        <f t="shared" si="46"/>
        <v>337173915.3919422</v>
      </c>
      <c r="AE123">
        <f t="shared" si="47"/>
        <v>-1710928964.6105022</v>
      </c>
      <c r="AF123" s="3">
        <f t="shared" si="48"/>
        <v>-807531193.60711789</v>
      </c>
      <c r="AG123">
        <f t="shared" si="49"/>
        <v>-2048102880.0024443</v>
      </c>
      <c r="AI123" s="2">
        <f t="shared" si="50"/>
        <v>-93115.575675743676</v>
      </c>
      <c r="AJ123" s="2">
        <f t="shared" si="51"/>
        <v>-52043.223142816532</v>
      </c>
      <c r="AK123">
        <f t="shared" si="52"/>
        <v>-1144705108.9990602</v>
      </c>
      <c r="AO123" s="2">
        <f t="shared" si="53"/>
        <v>2332.3549209315288</v>
      </c>
      <c r="AP123" s="3">
        <f t="shared" si="54"/>
        <v>1804.5377085203363</v>
      </c>
    </row>
    <row r="124" spans="1:42" ht="14.65" thickBot="1" x14ac:dyDescent="0.5">
      <c r="A124" s="2">
        <v>0.70099999999999996</v>
      </c>
      <c r="B124" s="4">
        <f t="shared" si="56"/>
        <v>40000</v>
      </c>
      <c r="C124">
        <v>2.97070707070707</v>
      </c>
      <c r="D124" s="5">
        <f t="shared" si="32"/>
        <v>1</v>
      </c>
      <c r="F124" s="2">
        <v>389.97</v>
      </c>
      <c r="G124" s="3">
        <v>5.8511999999999995E-4</v>
      </c>
      <c r="H124">
        <v>1.8295283484819999E-2</v>
      </c>
      <c r="I124">
        <v>0.199688296939799</v>
      </c>
      <c r="J124">
        <v>0</v>
      </c>
      <c r="K124" s="13">
        <v>968.07579999999996</v>
      </c>
      <c r="L124">
        <f t="shared" si="33"/>
        <v>2875.8696240404033</v>
      </c>
      <c r="M124">
        <f t="shared" si="34"/>
        <v>2419.6543702005683</v>
      </c>
      <c r="N124" s="2">
        <f t="shared" si="35"/>
        <v>0.75183635697622853</v>
      </c>
      <c r="O124">
        <f t="shared" si="36"/>
        <v>2.0788426389423753</v>
      </c>
      <c r="P124" s="4">
        <f t="shared" si="37"/>
        <v>0.18502768491749363</v>
      </c>
      <c r="Q124">
        <f t="shared" si="31"/>
        <v>6.5040030972041993</v>
      </c>
      <c r="R124">
        <f t="shared" si="58"/>
        <v>-5.0305173350338954</v>
      </c>
      <c r="S124" s="3">
        <f t="shared" si="57"/>
        <v>-2.0427527862542449</v>
      </c>
      <c r="T124" s="2">
        <f t="shared" si="38"/>
        <v>2.2018020695899587E-2</v>
      </c>
      <c r="U124" s="3">
        <f t="shared" si="39"/>
        <v>1.8392091020357982E-2</v>
      </c>
      <c r="V124">
        <v>2.97070707070707</v>
      </c>
      <c r="W124" s="13">
        <f t="shared" si="55"/>
        <v>120.73529176363569</v>
      </c>
      <c r="X124" s="2">
        <f t="shared" si="40"/>
        <v>-643.90621888433861</v>
      </c>
      <c r="Y124" s="3">
        <f t="shared" si="41"/>
        <v>-310.49842351064524</v>
      </c>
      <c r="Z124" s="13">
        <f t="shared" si="42"/>
        <v>1.1971461358867845</v>
      </c>
      <c r="AA124" s="2">
        <f t="shared" si="43"/>
        <v>0.83531990792356459</v>
      </c>
      <c r="AB124" s="3">
        <f t="shared" si="44"/>
        <v>0.69590953601138106</v>
      </c>
      <c r="AC124">
        <f t="shared" si="45"/>
        <v>4.198218540728238E-2</v>
      </c>
      <c r="AD124" s="2">
        <f t="shared" si="46"/>
        <v>347218958.13269538</v>
      </c>
      <c r="AE124">
        <f t="shared" si="47"/>
        <v>-1851790335.6201804</v>
      </c>
      <c r="AF124" s="3">
        <f t="shared" si="48"/>
        <v>-892952984.4866972</v>
      </c>
      <c r="AG124">
        <f t="shared" si="49"/>
        <v>-2199009293.7528758</v>
      </c>
      <c r="AI124" s="2">
        <f t="shared" si="50"/>
        <v>-99976.431019844662</v>
      </c>
      <c r="AJ124" s="2">
        <f t="shared" si="51"/>
        <v>-56383.556461661872</v>
      </c>
      <c r="AK124">
        <f t="shared" si="52"/>
        <v>-1240171942.6193926</v>
      </c>
      <c r="AO124" s="2">
        <f t="shared" si="53"/>
        <v>2401.8401444255496</v>
      </c>
      <c r="AP124" s="3">
        <f t="shared" si="54"/>
        <v>1843.6732746186944</v>
      </c>
    </row>
    <row r="125" spans="1:42" ht="14.65" thickBot="1" x14ac:dyDescent="0.5">
      <c r="A125">
        <v>0.70099999999999996</v>
      </c>
      <c r="B125" s="4">
        <f t="shared" si="56"/>
        <v>40000</v>
      </c>
      <c r="C125">
        <v>3</v>
      </c>
      <c r="D125" s="5">
        <f t="shared" si="32"/>
        <v>1</v>
      </c>
      <c r="F125" s="2">
        <v>389.97</v>
      </c>
      <c r="G125" s="3">
        <v>5.8511999999999995E-4</v>
      </c>
      <c r="H125">
        <v>1.8291386646421999E-2</v>
      </c>
      <c r="I125">
        <v>0.20167872175822399</v>
      </c>
      <c r="J125">
        <v>0</v>
      </c>
      <c r="K125" s="13">
        <v>968.07579999999996</v>
      </c>
      <c r="L125">
        <f t="shared" si="33"/>
        <v>2904.2273999999998</v>
      </c>
      <c r="M125">
        <f t="shared" si="34"/>
        <v>2467.608083548851</v>
      </c>
      <c r="N125" s="2">
        <f t="shared" si="35"/>
        <v>0.75183635697622853</v>
      </c>
      <c r="O125">
        <f t="shared" si="36"/>
        <v>2.1051417995334396</v>
      </c>
      <c r="P125" s="4">
        <f t="shared" si="37"/>
        <v>0.18502768491749363</v>
      </c>
      <c r="Q125">
        <f t="shared" si="31"/>
        <v>6.7965704762886103</v>
      </c>
      <c r="R125">
        <f t="shared" si="58"/>
        <v>-5.3859657139477841</v>
      </c>
      <c r="S125" s="3">
        <f t="shared" si="57"/>
        <v>-2.2302595180848486</v>
      </c>
      <c r="T125" s="2">
        <f t="shared" si="38"/>
        <v>2.1590138383474497E-2</v>
      </c>
      <c r="U125" s="3">
        <f t="shared" si="39"/>
        <v>1.8385395970920169E-2</v>
      </c>
      <c r="V125">
        <v>3</v>
      </c>
      <c r="W125" s="13">
        <f t="shared" si="55"/>
        <v>123.08325300846269</v>
      </c>
      <c r="X125" s="2">
        <f t="shared" si="40"/>
        <v>-689.40361138531637</v>
      </c>
      <c r="Y125" s="3">
        <f t="shared" si="41"/>
        <v>-338.99944674889696</v>
      </c>
      <c r="Z125" s="13">
        <f t="shared" si="42"/>
        <v>1.1743091319666548</v>
      </c>
      <c r="AA125" s="2">
        <f t="shared" si="43"/>
        <v>0.85156452656147408</v>
      </c>
      <c r="AB125" s="3">
        <f t="shared" si="44"/>
        <v>0.70540165157405232</v>
      </c>
      <c r="AC125">
        <f t="shared" si="45"/>
        <v>4.2380721636488483E-2</v>
      </c>
      <c r="AD125" s="2">
        <f t="shared" si="46"/>
        <v>357461755.86830974</v>
      </c>
      <c r="AE125">
        <f t="shared" si="47"/>
        <v>-2002184857.8441877</v>
      </c>
      <c r="AF125" s="3">
        <f t="shared" si="48"/>
        <v>-984531481.83298743</v>
      </c>
      <c r="AG125">
        <f t="shared" si="49"/>
        <v>-2359646613.7124972</v>
      </c>
      <c r="AI125" s="2">
        <f t="shared" si="50"/>
        <v>-107279.69525969132</v>
      </c>
      <c r="AJ125" s="2">
        <f t="shared" si="51"/>
        <v>-61012.790959681814</v>
      </c>
      <c r="AK125">
        <f t="shared" si="52"/>
        <v>-1341993237.7012973</v>
      </c>
      <c r="AO125" s="2">
        <f t="shared" si="53"/>
        <v>2472.6933113290333</v>
      </c>
      <c r="AP125" s="3">
        <f t="shared" si="54"/>
        <v>1882.9258623914743</v>
      </c>
    </row>
    <row r="128" spans="1:42" x14ac:dyDescent="0.45">
      <c r="AC128">
        <f>MIN(AC26:AC125)</f>
        <v>1.4125044675273018E-2</v>
      </c>
    </row>
  </sheetData>
  <mergeCells count="1">
    <mergeCell ref="AI24:AJ24"/>
  </mergeCells>
  <conditionalFormatting sqref="AB26:AB12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6:AD1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6:AE1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6:AF1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6:AJ1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6:AP12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6:AQ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B1E1-A6D5-493A-977B-BB170708B8F2}">
  <dimension ref="F1:I16"/>
  <sheetViews>
    <sheetView workbookViewId="0">
      <selection activeCell="P29" sqref="P29"/>
    </sheetView>
  </sheetViews>
  <sheetFormatPr defaultRowHeight="14.25" x14ac:dyDescent="0.45"/>
  <cols>
    <col min="8" max="8" width="18.19921875" bestFit="1" customWidth="1"/>
    <col min="9" max="9" width="20.86328125" bestFit="1" customWidth="1"/>
  </cols>
  <sheetData>
    <row r="1" spans="6:9" x14ac:dyDescent="0.45">
      <c r="F1" t="s">
        <v>9</v>
      </c>
      <c r="G1" t="s">
        <v>51</v>
      </c>
      <c r="H1" t="s">
        <v>54</v>
      </c>
      <c r="I1" t="s">
        <v>55</v>
      </c>
    </row>
    <row r="2" spans="6:9" x14ac:dyDescent="0.45">
      <c r="F2">
        <v>50000</v>
      </c>
      <c r="G2" s="18">
        <v>3527.9398223916151</v>
      </c>
    </row>
    <row r="3" spans="6:9" x14ac:dyDescent="0.45">
      <c r="F3">
        <v>51000</v>
      </c>
      <c r="G3">
        <v>3679.0811648553004</v>
      </c>
    </row>
    <row r="4" spans="6:9" x14ac:dyDescent="0.45">
      <c r="F4">
        <v>52000</v>
      </c>
      <c r="G4">
        <v>3833.5672387371201</v>
      </c>
    </row>
    <row r="5" spans="6:9" x14ac:dyDescent="0.45">
      <c r="F5">
        <v>53000</v>
      </c>
      <c r="G5">
        <v>3990.9073213658394</v>
      </c>
    </row>
    <row r="6" spans="6:9" x14ac:dyDescent="0.45">
      <c r="F6">
        <v>54000</v>
      </c>
      <c r="G6">
        <v>4150.6541469274944</v>
      </c>
    </row>
    <row r="7" spans="6:9" x14ac:dyDescent="0.45">
      <c r="F7">
        <v>55000</v>
      </c>
      <c r="G7">
        <v>4312.1830954746692</v>
      </c>
    </row>
    <row r="8" spans="6:9" x14ac:dyDescent="0.45">
      <c r="F8">
        <v>56000</v>
      </c>
      <c r="G8">
        <v>4474.9301990953963</v>
      </c>
    </row>
    <row r="9" spans="6:9" x14ac:dyDescent="0.45">
      <c r="F9">
        <v>57000</v>
      </c>
      <c r="G9">
        <v>4637.9989554258009</v>
      </c>
    </row>
    <row r="10" spans="6:9" x14ac:dyDescent="0.45">
      <c r="F10">
        <v>58000</v>
      </c>
      <c r="G10">
        <v>4800.6968942969324</v>
      </c>
    </row>
    <row r="11" spans="6:9" x14ac:dyDescent="0.45">
      <c r="F11">
        <v>59000</v>
      </c>
      <c r="G11" s="18">
        <v>4962.1367641629695</v>
      </c>
    </row>
    <row r="12" spans="6:9" x14ac:dyDescent="0.45">
      <c r="F12">
        <v>60000</v>
      </c>
      <c r="G12" s="18">
        <v>5121.2095725248973</v>
      </c>
    </row>
    <row r="13" spans="6:9" x14ac:dyDescent="0.45">
      <c r="F13">
        <v>53000</v>
      </c>
      <c r="H13">
        <v>3000</v>
      </c>
    </row>
    <row r="14" spans="6:9" x14ac:dyDescent="0.45">
      <c r="F14">
        <v>53000</v>
      </c>
      <c r="H14">
        <v>3990.9072999999999</v>
      </c>
    </row>
    <row r="15" spans="6:9" x14ac:dyDescent="0.45">
      <c r="F15">
        <v>57000</v>
      </c>
      <c r="I15">
        <v>3000</v>
      </c>
    </row>
    <row r="16" spans="6:9" x14ac:dyDescent="0.45">
      <c r="F16">
        <v>57000</v>
      </c>
      <c r="I16">
        <v>4637.9989554258009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50000</vt:lpstr>
      <vt:lpstr>60000</vt:lpstr>
      <vt:lpstr>40000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Sarojini, Darshan</dc:creator>
  <cp:keywords/>
  <dc:description/>
  <cp:lastModifiedBy>Robinson, Ben</cp:lastModifiedBy>
  <cp:revision/>
  <dcterms:created xsi:type="dcterms:W3CDTF">2024-09-08T17:04:32Z</dcterms:created>
  <dcterms:modified xsi:type="dcterms:W3CDTF">2026-04-28T00:30:54Z</dcterms:modified>
  <cp:category/>
  <cp:contentStatus/>
</cp:coreProperties>
</file>